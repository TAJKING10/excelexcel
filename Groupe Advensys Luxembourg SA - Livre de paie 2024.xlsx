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/>
  <mc:AlternateContent xmlns:mc="http://schemas.openxmlformats.org/markup-compatibility/2006">
    <mc:Choice Requires="x15">
      <x15ac:absPath xmlns:x15ac="http://schemas.microsoft.com/office/spreadsheetml/2010/11/ac" url="P:\Advensys Conseil\Groupe Advensys Luxembourg S.A 1\9-Salaires\01-Livre de paie - des salaires\2024\"/>
    </mc:Choice>
  </mc:AlternateContent>
  <xr:revisionPtr revIDLastSave="0" documentId="13_ncr:1_{8517AAE1-4182-4F72-9795-A6CBA4F14E94}" xr6:coauthVersionLast="47" xr6:coauthVersionMax="47" xr10:uidLastSave="{00000000-0000-0000-0000-000000000000}"/>
  <bookViews>
    <workbookView xWindow="-120" yWindow="-120" windowWidth="29040" windowHeight="15720" tabRatio="882" firstSheet="3" activeTab="10" xr2:uid="{00000000-000D-0000-FFFF-FFFF00000000}"/>
  </bookViews>
  <sheets>
    <sheet name="Miodrag MILIC" sheetId="11" r:id="rId1"/>
    <sheet name="BERTHE Alexandra" sheetId="38" r:id="rId2"/>
    <sheet name="SANDRI Sandro" sheetId="41" r:id="rId3"/>
    <sheet name="JAUD Jean Paul" sheetId="42" r:id="rId4"/>
    <sheet name="REBELO MATOS Daniel Filipe" sheetId="44" r:id="rId5"/>
    <sheet name="BALDE Binta" sheetId="46" r:id="rId6"/>
    <sheet name="Omigie Evbaguehize Stella" sheetId="47" r:id="rId7"/>
    <sheet name="BEZGUBOV Tatiana" sheetId="48" r:id="rId8"/>
    <sheet name="RIFFAUD Jean François " sheetId="49" r:id="rId9"/>
    <sheet name="BROERING Lucas José " sheetId="50" r:id="rId10"/>
    <sheet name="Salaire globale +  Maladie" sheetId="23" r:id="rId11"/>
    <sheet name="Part Patronales" sheetId="24" r:id="rId1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P11" i="23" l="1"/>
  <c r="P12" i="23"/>
  <c r="P13" i="23"/>
  <c r="P14" i="23"/>
  <c r="P15" i="23"/>
  <c r="P16" i="23"/>
  <c r="P17" i="23"/>
  <c r="P18" i="23"/>
  <c r="P19" i="23"/>
  <c r="P20" i="23"/>
  <c r="P21" i="23"/>
  <c r="P10" i="23"/>
  <c r="K11" i="23"/>
  <c r="K12" i="23"/>
  <c r="K13" i="23"/>
  <c r="K14" i="23"/>
  <c r="K15" i="23"/>
  <c r="K16" i="23"/>
  <c r="K17" i="23"/>
  <c r="K18" i="23"/>
  <c r="K19" i="23"/>
  <c r="K20" i="23"/>
  <c r="K21" i="23"/>
  <c r="K10" i="23"/>
  <c r="H11" i="23"/>
  <c r="I11" i="23"/>
  <c r="J11" i="23"/>
  <c r="H12" i="23"/>
  <c r="I12" i="23"/>
  <c r="J12" i="23"/>
  <c r="H13" i="23"/>
  <c r="I13" i="23"/>
  <c r="J13" i="23"/>
  <c r="H14" i="23"/>
  <c r="I14" i="23"/>
  <c r="J14" i="23"/>
  <c r="H15" i="23"/>
  <c r="I15" i="23"/>
  <c r="J15" i="23"/>
  <c r="H16" i="23"/>
  <c r="I16" i="23"/>
  <c r="J16" i="23"/>
  <c r="H17" i="23"/>
  <c r="I17" i="23"/>
  <c r="J17" i="23"/>
  <c r="H18" i="23"/>
  <c r="I18" i="23"/>
  <c r="J18" i="23"/>
  <c r="H19" i="23"/>
  <c r="I19" i="23"/>
  <c r="J19" i="23"/>
  <c r="H20" i="23"/>
  <c r="I20" i="23"/>
  <c r="J20" i="23"/>
  <c r="H21" i="23"/>
  <c r="I21" i="23"/>
  <c r="J21" i="23"/>
  <c r="I10" i="23"/>
  <c r="J10" i="23"/>
  <c r="H10" i="23"/>
  <c r="B11" i="23"/>
  <c r="C11" i="23"/>
  <c r="D11" i="23"/>
  <c r="E11" i="23"/>
  <c r="B12" i="23"/>
  <c r="C12" i="23"/>
  <c r="D12" i="23"/>
  <c r="E12" i="23"/>
  <c r="B13" i="23"/>
  <c r="C13" i="23"/>
  <c r="D13" i="23"/>
  <c r="E13" i="23"/>
  <c r="B14" i="23"/>
  <c r="C14" i="23"/>
  <c r="D14" i="23"/>
  <c r="E14" i="23"/>
  <c r="B15" i="23"/>
  <c r="C15" i="23"/>
  <c r="D15" i="23"/>
  <c r="E15" i="23"/>
  <c r="B16" i="23"/>
  <c r="C16" i="23"/>
  <c r="D16" i="23"/>
  <c r="E16" i="23"/>
  <c r="B17" i="23"/>
  <c r="C17" i="23"/>
  <c r="D17" i="23"/>
  <c r="E17" i="23"/>
  <c r="B18" i="23"/>
  <c r="C18" i="23"/>
  <c r="D18" i="23"/>
  <c r="E18" i="23"/>
  <c r="B19" i="23"/>
  <c r="C19" i="23"/>
  <c r="D19" i="23"/>
  <c r="E19" i="23"/>
  <c r="B20" i="23"/>
  <c r="C20" i="23"/>
  <c r="D20" i="23"/>
  <c r="E20" i="23"/>
  <c r="B21" i="23"/>
  <c r="C21" i="23"/>
  <c r="D21" i="23"/>
  <c r="E21" i="23"/>
  <c r="C10" i="23"/>
  <c r="D10" i="23"/>
  <c r="E10" i="23"/>
  <c r="B10" i="23"/>
  <c r="H13" i="50"/>
  <c r="G18" i="50"/>
  <c r="G19" i="50"/>
  <c r="G20" i="50"/>
  <c r="G21" i="50"/>
  <c r="K13" i="49" l="1"/>
  <c r="K12" i="49"/>
  <c r="H13" i="49"/>
  <c r="G13" i="49"/>
  <c r="H12" i="49"/>
  <c r="G12" i="49"/>
  <c r="K11" i="49"/>
  <c r="H11" i="49"/>
  <c r="G18" i="49"/>
  <c r="G19" i="49"/>
  <c r="G20" i="49"/>
  <c r="G21" i="49"/>
  <c r="H13" i="48" l="1"/>
  <c r="G13" i="48"/>
  <c r="H12" i="48"/>
  <c r="G12" i="48"/>
  <c r="H11" i="48"/>
  <c r="G18" i="48"/>
  <c r="G19" i="48"/>
  <c r="G20" i="48"/>
  <c r="G21" i="48"/>
  <c r="G20" i="47" l="1"/>
  <c r="H20" i="47"/>
  <c r="G21" i="47"/>
  <c r="H21" i="47"/>
  <c r="G19" i="47"/>
  <c r="H19" i="47"/>
  <c r="G18" i="47"/>
  <c r="H18" i="47"/>
  <c r="G17" i="47"/>
  <c r="H17" i="47"/>
  <c r="H16" i="47"/>
  <c r="H15" i="47"/>
  <c r="G12" i="46" l="1"/>
  <c r="G13" i="46"/>
  <c r="G14" i="46"/>
  <c r="H21" i="46"/>
  <c r="G21" i="46"/>
  <c r="H20" i="46"/>
  <c r="G20" i="46"/>
  <c r="H19" i="46"/>
  <c r="G19" i="46"/>
  <c r="H18" i="46"/>
  <c r="G18" i="46"/>
  <c r="H17" i="46"/>
  <c r="G17" i="46"/>
  <c r="H16" i="46"/>
  <c r="G16" i="46"/>
  <c r="H15" i="46"/>
  <c r="G15" i="46"/>
  <c r="G11" i="46"/>
  <c r="G10" i="46"/>
  <c r="G10" i="44" l="1"/>
  <c r="H10" i="44"/>
  <c r="G11" i="44"/>
  <c r="H11" i="44"/>
  <c r="G12" i="44"/>
  <c r="H12" i="44"/>
  <c r="G13" i="44"/>
  <c r="H13" i="44"/>
  <c r="G14" i="44"/>
  <c r="H14" i="44"/>
  <c r="G15" i="44"/>
  <c r="H15" i="44"/>
  <c r="G16" i="44"/>
  <c r="H16" i="44"/>
  <c r="G17" i="44"/>
  <c r="H17" i="44"/>
  <c r="H21" i="42" l="1"/>
  <c r="H20" i="42"/>
  <c r="H19" i="42"/>
  <c r="H18" i="42"/>
  <c r="H17" i="42"/>
  <c r="H16" i="42"/>
  <c r="H15" i="42"/>
  <c r="H14" i="42"/>
  <c r="H13" i="42"/>
  <c r="H12" i="42"/>
  <c r="H11" i="42"/>
  <c r="H10" i="42"/>
  <c r="G21" i="38" l="1"/>
  <c r="H21" i="38"/>
  <c r="H20" i="38"/>
  <c r="G20" i="38"/>
  <c r="H19" i="38"/>
  <c r="G19" i="38"/>
  <c r="H18" i="38"/>
  <c r="G18" i="38"/>
  <c r="H17" i="38"/>
  <c r="H16" i="38"/>
  <c r="H15" i="38"/>
  <c r="H14" i="38"/>
  <c r="H13" i="38"/>
  <c r="H12" i="38"/>
  <c r="H11" i="38"/>
  <c r="H10" i="38"/>
  <c r="K10" i="11" l="1"/>
  <c r="K11" i="11"/>
  <c r="K12" i="11"/>
  <c r="K13" i="11"/>
  <c r="K14" i="11"/>
  <c r="K15" i="11"/>
  <c r="K16" i="11"/>
  <c r="K17" i="11"/>
  <c r="H10" i="11"/>
  <c r="H11" i="11"/>
  <c r="H12" i="11"/>
  <c r="H13" i="11"/>
  <c r="H14" i="11"/>
  <c r="H15" i="11"/>
  <c r="H16" i="11"/>
  <c r="H17" i="11"/>
  <c r="H17" i="41" l="1"/>
  <c r="G17" i="41"/>
  <c r="H16" i="41"/>
  <c r="H15" i="41"/>
  <c r="H14" i="41"/>
  <c r="H13" i="41"/>
  <c r="H12" i="41"/>
  <c r="K11" i="41"/>
  <c r="K12" i="41"/>
  <c r="K13" i="41"/>
  <c r="H11" i="41"/>
  <c r="K10" i="41"/>
  <c r="H10" i="41"/>
  <c r="G19" i="41"/>
  <c r="G20" i="41"/>
  <c r="G21" i="41"/>
  <c r="G39" i="50" l="1"/>
  <c r="F39" i="50"/>
  <c r="E39" i="50"/>
  <c r="D39" i="50"/>
  <c r="C39" i="50"/>
  <c r="B39" i="50"/>
  <c r="K38" i="50"/>
  <c r="J38" i="50"/>
  <c r="H38" i="50"/>
  <c r="K37" i="50"/>
  <c r="J37" i="50"/>
  <c r="H37" i="50"/>
  <c r="K36" i="50"/>
  <c r="J36" i="50"/>
  <c r="H36" i="50"/>
  <c r="K35" i="50"/>
  <c r="J35" i="50"/>
  <c r="H35" i="50"/>
  <c r="K34" i="50"/>
  <c r="J34" i="50"/>
  <c r="H34" i="50"/>
  <c r="K33" i="50"/>
  <c r="J33" i="50"/>
  <c r="H33" i="50"/>
  <c r="H39" i="50" s="1"/>
  <c r="K32" i="50"/>
  <c r="J32" i="50"/>
  <c r="H32" i="50"/>
  <c r="K31" i="50"/>
  <c r="J31" i="50"/>
  <c r="H31" i="50"/>
  <c r="K30" i="50"/>
  <c r="J30" i="50"/>
  <c r="H30" i="50"/>
  <c r="K29" i="50"/>
  <c r="J29" i="50"/>
  <c r="H29" i="50"/>
  <c r="K28" i="50"/>
  <c r="J28" i="50"/>
  <c r="H28" i="50"/>
  <c r="K27" i="50"/>
  <c r="J27" i="50"/>
  <c r="H27" i="50"/>
  <c r="P22" i="50"/>
  <c r="O22" i="50"/>
  <c r="N22" i="50"/>
  <c r="M22" i="50"/>
  <c r="L22" i="50"/>
  <c r="K22" i="50"/>
  <c r="J22" i="50"/>
  <c r="I22" i="50"/>
  <c r="F22" i="50"/>
  <c r="E22" i="50"/>
  <c r="H22" i="50"/>
  <c r="G17" i="50"/>
  <c r="G16" i="50"/>
  <c r="G15" i="50"/>
  <c r="G14" i="50"/>
  <c r="G13" i="50"/>
  <c r="G12" i="50"/>
  <c r="G11" i="50"/>
  <c r="G10" i="50"/>
  <c r="G22" i="50" s="1"/>
  <c r="G5" i="50"/>
  <c r="G39" i="49"/>
  <c r="F39" i="49"/>
  <c r="E39" i="49"/>
  <c r="D39" i="49"/>
  <c r="C39" i="49"/>
  <c r="B39" i="49"/>
  <c r="K38" i="49"/>
  <c r="J38" i="49"/>
  <c r="H38" i="49"/>
  <c r="K37" i="49"/>
  <c r="J37" i="49"/>
  <c r="H37" i="49"/>
  <c r="K36" i="49"/>
  <c r="J36" i="49"/>
  <c r="H36" i="49"/>
  <c r="K35" i="49"/>
  <c r="J35" i="49"/>
  <c r="H35" i="49"/>
  <c r="K34" i="49"/>
  <c r="J34" i="49"/>
  <c r="H34" i="49"/>
  <c r="K33" i="49"/>
  <c r="J33" i="49"/>
  <c r="H33" i="49"/>
  <c r="K32" i="49"/>
  <c r="J32" i="49"/>
  <c r="H32" i="49"/>
  <c r="K31" i="49"/>
  <c r="J31" i="49"/>
  <c r="H31" i="49"/>
  <c r="K30" i="49"/>
  <c r="J30" i="49"/>
  <c r="H30" i="49"/>
  <c r="K29" i="49"/>
  <c r="J29" i="49"/>
  <c r="H29" i="49"/>
  <c r="K28" i="49"/>
  <c r="J28" i="49"/>
  <c r="H28" i="49"/>
  <c r="K27" i="49"/>
  <c r="J27" i="49"/>
  <c r="H27" i="49"/>
  <c r="P22" i="49"/>
  <c r="O22" i="49"/>
  <c r="N22" i="49"/>
  <c r="M22" i="49"/>
  <c r="L22" i="49"/>
  <c r="K22" i="49"/>
  <c r="J22" i="49"/>
  <c r="I22" i="49"/>
  <c r="F22" i="49"/>
  <c r="E22" i="49"/>
  <c r="H22" i="49"/>
  <c r="G17" i="49"/>
  <c r="G16" i="49"/>
  <c r="G15" i="49"/>
  <c r="G14" i="49"/>
  <c r="G11" i="49"/>
  <c r="G10" i="49"/>
  <c r="G5" i="49"/>
  <c r="G39" i="48"/>
  <c r="F39" i="48"/>
  <c r="E39" i="48"/>
  <c r="D39" i="48"/>
  <c r="C39" i="48"/>
  <c r="B39" i="48"/>
  <c r="K38" i="48"/>
  <c r="J38" i="48"/>
  <c r="H38" i="48"/>
  <c r="K37" i="48"/>
  <c r="J37" i="48"/>
  <c r="H37" i="48"/>
  <c r="K36" i="48"/>
  <c r="J36" i="48"/>
  <c r="H36" i="48"/>
  <c r="K35" i="48"/>
  <c r="J35" i="48"/>
  <c r="H35" i="48"/>
  <c r="K34" i="48"/>
  <c r="J34" i="48"/>
  <c r="H34" i="48"/>
  <c r="K33" i="48"/>
  <c r="J33" i="48"/>
  <c r="H33" i="48"/>
  <c r="K32" i="48"/>
  <c r="J32" i="48"/>
  <c r="H32" i="48"/>
  <c r="K31" i="48"/>
  <c r="J31" i="48"/>
  <c r="H31" i="48"/>
  <c r="K30" i="48"/>
  <c r="J30" i="48"/>
  <c r="H30" i="48"/>
  <c r="K29" i="48"/>
  <c r="J29" i="48"/>
  <c r="H29" i="48"/>
  <c r="K28" i="48"/>
  <c r="J28" i="48"/>
  <c r="H28" i="48"/>
  <c r="K27" i="48"/>
  <c r="J27" i="48"/>
  <c r="H27" i="48"/>
  <c r="P22" i="48"/>
  <c r="O22" i="48"/>
  <c r="N22" i="48"/>
  <c r="M22" i="48"/>
  <c r="L22" i="48"/>
  <c r="K22" i="48"/>
  <c r="J22" i="48"/>
  <c r="I22" i="48"/>
  <c r="F22" i="48"/>
  <c r="E22" i="48"/>
  <c r="H22" i="48"/>
  <c r="G17" i="48"/>
  <c r="G16" i="48"/>
  <c r="G15" i="48"/>
  <c r="G14" i="48"/>
  <c r="G11" i="48"/>
  <c r="G10" i="48"/>
  <c r="G5" i="48"/>
  <c r="G39" i="47"/>
  <c r="F39" i="47"/>
  <c r="E39" i="47"/>
  <c r="D39" i="47"/>
  <c r="C39" i="47"/>
  <c r="B39" i="47"/>
  <c r="K38" i="47"/>
  <c r="J38" i="47"/>
  <c r="H38" i="47"/>
  <c r="K37" i="47"/>
  <c r="J37" i="47"/>
  <c r="H37" i="47"/>
  <c r="K36" i="47"/>
  <c r="J36" i="47"/>
  <c r="H36" i="47"/>
  <c r="K35" i="47"/>
  <c r="J35" i="47"/>
  <c r="H35" i="47"/>
  <c r="K34" i="47"/>
  <c r="J34" i="47"/>
  <c r="H34" i="47"/>
  <c r="K33" i="47"/>
  <c r="J33" i="47"/>
  <c r="H33" i="47"/>
  <c r="K32" i="47"/>
  <c r="J32" i="47"/>
  <c r="H32" i="47"/>
  <c r="K31" i="47"/>
  <c r="J31" i="47"/>
  <c r="H31" i="47"/>
  <c r="K30" i="47"/>
  <c r="J30" i="47"/>
  <c r="H30" i="47"/>
  <c r="K29" i="47"/>
  <c r="J29" i="47"/>
  <c r="H29" i="47"/>
  <c r="K28" i="47"/>
  <c r="J28" i="47"/>
  <c r="H28" i="47"/>
  <c r="K27" i="47"/>
  <c r="J27" i="47"/>
  <c r="H27" i="47"/>
  <c r="P22" i="47"/>
  <c r="O22" i="47"/>
  <c r="N22" i="47"/>
  <c r="M22" i="47"/>
  <c r="L22" i="47"/>
  <c r="K22" i="47"/>
  <c r="J22" i="47"/>
  <c r="I22" i="47"/>
  <c r="F22" i="47"/>
  <c r="E22" i="47"/>
  <c r="H22" i="47"/>
  <c r="G16" i="47"/>
  <c r="G15" i="47"/>
  <c r="G14" i="47"/>
  <c r="G13" i="47"/>
  <c r="G12" i="47"/>
  <c r="G11" i="47"/>
  <c r="G10" i="47"/>
  <c r="G5" i="47"/>
  <c r="G39" i="46"/>
  <c r="F39" i="46"/>
  <c r="E39" i="46"/>
  <c r="D39" i="46"/>
  <c r="C39" i="46"/>
  <c r="B39" i="46"/>
  <c r="K38" i="46"/>
  <c r="J38" i="46"/>
  <c r="H38" i="46"/>
  <c r="K37" i="46"/>
  <c r="J37" i="46"/>
  <c r="H37" i="46"/>
  <c r="K36" i="46"/>
  <c r="J36" i="46"/>
  <c r="H36" i="46"/>
  <c r="K35" i="46"/>
  <c r="J35" i="46"/>
  <c r="H35" i="46"/>
  <c r="K34" i="46"/>
  <c r="J34" i="46"/>
  <c r="H34" i="46"/>
  <c r="K33" i="46"/>
  <c r="J33" i="46"/>
  <c r="H33" i="46"/>
  <c r="K32" i="46"/>
  <c r="J32" i="46"/>
  <c r="H32" i="46"/>
  <c r="K31" i="46"/>
  <c r="J31" i="46"/>
  <c r="H31" i="46"/>
  <c r="K30" i="46"/>
  <c r="J30" i="46"/>
  <c r="H30" i="46"/>
  <c r="K29" i="46"/>
  <c r="J29" i="46"/>
  <c r="H29" i="46"/>
  <c r="K28" i="46"/>
  <c r="J28" i="46"/>
  <c r="H28" i="46"/>
  <c r="K27" i="46"/>
  <c r="J27" i="46"/>
  <c r="H27" i="46"/>
  <c r="P22" i="46"/>
  <c r="O22" i="46"/>
  <c r="N22" i="46"/>
  <c r="M22" i="46"/>
  <c r="L22" i="46"/>
  <c r="K22" i="46"/>
  <c r="J22" i="46"/>
  <c r="I22" i="46"/>
  <c r="F22" i="46"/>
  <c r="E22" i="46"/>
  <c r="H22" i="46"/>
  <c r="G22" i="46"/>
  <c r="G5" i="46"/>
  <c r="K39" i="50" l="1"/>
  <c r="J39" i="50"/>
  <c r="K39" i="49"/>
  <c r="H39" i="49"/>
  <c r="G22" i="49"/>
  <c r="J39" i="49"/>
  <c r="K39" i="48"/>
  <c r="G22" i="48"/>
  <c r="J39" i="48"/>
  <c r="H39" i="48"/>
  <c r="J39" i="47"/>
  <c r="H39" i="47"/>
  <c r="K39" i="47"/>
  <c r="G22" i="47"/>
  <c r="K39" i="46"/>
  <c r="J39" i="46"/>
  <c r="H39" i="46"/>
  <c r="G21" i="44"/>
  <c r="H21" i="44"/>
  <c r="G20" i="44"/>
  <c r="H20" i="44"/>
  <c r="H19" i="44"/>
  <c r="G19" i="44"/>
  <c r="H18" i="44"/>
  <c r="G12" i="42" l="1"/>
  <c r="G39" i="44"/>
  <c r="F39" i="44"/>
  <c r="E39" i="44"/>
  <c r="D39" i="44"/>
  <c r="C39" i="44"/>
  <c r="B39" i="44"/>
  <c r="K38" i="44"/>
  <c r="J38" i="44"/>
  <c r="H38" i="44"/>
  <c r="K37" i="44"/>
  <c r="J37" i="44"/>
  <c r="H37" i="44"/>
  <c r="K36" i="44"/>
  <c r="J36" i="44"/>
  <c r="H36" i="44"/>
  <c r="K35" i="44"/>
  <c r="J35" i="44"/>
  <c r="H35" i="44"/>
  <c r="K34" i="44"/>
  <c r="J34" i="44"/>
  <c r="H34" i="44"/>
  <c r="K33" i="44"/>
  <c r="J33" i="44"/>
  <c r="H33" i="44"/>
  <c r="K32" i="44"/>
  <c r="J32" i="44"/>
  <c r="H32" i="44"/>
  <c r="K31" i="44"/>
  <c r="J31" i="44"/>
  <c r="H31" i="44"/>
  <c r="K30" i="44"/>
  <c r="J30" i="44"/>
  <c r="H30" i="44"/>
  <c r="K29" i="44"/>
  <c r="J29" i="44"/>
  <c r="H29" i="44"/>
  <c r="K28" i="44"/>
  <c r="J28" i="44"/>
  <c r="H28" i="44"/>
  <c r="K27" i="44"/>
  <c r="J27" i="44"/>
  <c r="H27" i="44"/>
  <c r="P22" i="44"/>
  <c r="O22" i="44"/>
  <c r="N22" i="44"/>
  <c r="M22" i="44"/>
  <c r="L22" i="44"/>
  <c r="K22" i="44"/>
  <c r="J22" i="44"/>
  <c r="I22" i="44"/>
  <c r="H22" i="44"/>
  <c r="F22" i="44"/>
  <c r="E22" i="44"/>
  <c r="G18" i="44"/>
  <c r="G22" i="44"/>
  <c r="G5" i="44"/>
  <c r="K39" i="44" l="1"/>
  <c r="H39" i="44"/>
  <c r="J39" i="44"/>
  <c r="G17" i="38" l="1"/>
  <c r="G16" i="38"/>
  <c r="G14" i="38"/>
  <c r="G13" i="38"/>
  <c r="G12" i="38"/>
  <c r="G15" i="38"/>
  <c r="G21" i="11" l="1"/>
  <c r="H21" i="11"/>
  <c r="G20" i="11"/>
  <c r="H20" i="11"/>
  <c r="K19" i="11"/>
  <c r="H19" i="11"/>
  <c r="G19" i="11"/>
  <c r="K18" i="11"/>
  <c r="H18" i="11"/>
  <c r="G17" i="11"/>
  <c r="G16" i="11"/>
  <c r="G15" i="11"/>
  <c r="G14" i="11"/>
  <c r="G12" i="11"/>
  <c r="G16" i="41" l="1"/>
  <c r="G14" i="41"/>
  <c r="G13" i="41"/>
  <c r="G12" i="41"/>
  <c r="G11" i="41"/>
  <c r="G10" i="41"/>
  <c r="G11" i="38" l="1"/>
  <c r="G18" i="11" l="1"/>
  <c r="G11" i="11"/>
  <c r="M12" i="23" l="1"/>
  <c r="M10" i="23"/>
  <c r="O10" i="23"/>
  <c r="G18" i="42"/>
  <c r="G19" i="42"/>
  <c r="G18" i="41"/>
  <c r="H22" i="38"/>
  <c r="G39" i="42"/>
  <c r="F39" i="42"/>
  <c r="E39" i="42"/>
  <c r="D39" i="42"/>
  <c r="C39" i="42"/>
  <c r="B39" i="42"/>
  <c r="K38" i="42"/>
  <c r="J38" i="42"/>
  <c r="H38" i="42"/>
  <c r="K37" i="42"/>
  <c r="J37" i="42"/>
  <c r="H37" i="42"/>
  <c r="K36" i="42"/>
  <c r="J36" i="42"/>
  <c r="H36" i="42"/>
  <c r="K35" i="42"/>
  <c r="J35" i="42"/>
  <c r="H35" i="42"/>
  <c r="K34" i="42"/>
  <c r="J34" i="42"/>
  <c r="H34" i="42"/>
  <c r="K33" i="42"/>
  <c r="J33" i="42"/>
  <c r="H33" i="42"/>
  <c r="K32" i="42"/>
  <c r="J32" i="42"/>
  <c r="H32" i="42"/>
  <c r="K31" i="42"/>
  <c r="J31" i="42"/>
  <c r="H31" i="42"/>
  <c r="K30" i="42"/>
  <c r="J30" i="42"/>
  <c r="H30" i="42"/>
  <c r="K29" i="42"/>
  <c r="J29" i="42"/>
  <c r="H29" i="42"/>
  <c r="K28" i="42"/>
  <c r="J28" i="42"/>
  <c r="H28" i="42"/>
  <c r="K27" i="42"/>
  <c r="J27" i="42"/>
  <c r="H27" i="42"/>
  <c r="P22" i="42"/>
  <c r="O22" i="42"/>
  <c r="N22" i="42"/>
  <c r="M22" i="42"/>
  <c r="L22" i="42"/>
  <c r="K22" i="42"/>
  <c r="J22" i="42"/>
  <c r="I22" i="42"/>
  <c r="F22" i="42"/>
  <c r="E22" i="42"/>
  <c r="G21" i="42"/>
  <c r="G20" i="42"/>
  <c r="G17" i="42"/>
  <c r="G16" i="42"/>
  <c r="G15" i="42"/>
  <c r="G14" i="42"/>
  <c r="G13" i="42"/>
  <c r="G11" i="42"/>
  <c r="G10" i="42"/>
  <c r="G5" i="42"/>
  <c r="G39" i="41"/>
  <c r="F39" i="41"/>
  <c r="E39" i="41"/>
  <c r="D39" i="41"/>
  <c r="C39" i="41"/>
  <c r="B39" i="41"/>
  <c r="K38" i="41"/>
  <c r="J38" i="41"/>
  <c r="H38" i="41"/>
  <c r="K37" i="41"/>
  <c r="J37" i="41"/>
  <c r="H37" i="41"/>
  <c r="K36" i="41"/>
  <c r="J36" i="41"/>
  <c r="H36" i="41"/>
  <c r="K35" i="41"/>
  <c r="J35" i="41"/>
  <c r="H35" i="41"/>
  <c r="K34" i="41"/>
  <c r="J34" i="41"/>
  <c r="H34" i="41"/>
  <c r="K33" i="41"/>
  <c r="J33" i="41"/>
  <c r="H33" i="41"/>
  <c r="K32" i="41"/>
  <c r="J32" i="41"/>
  <c r="H32" i="41"/>
  <c r="K31" i="41"/>
  <c r="J31" i="41"/>
  <c r="H31" i="41"/>
  <c r="K30" i="41"/>
  <c r="J30" i="41"/>
  <c r="H30" i="41"/>
  <c r="K29" i="41"/>
  <c r="J29" i="41"/>
  <c r="H29" i="41"/>
  <c r="K28" i="41"/>
  <c r="J28" i="41"/>
  <c r="H28" i="41"/>
  <c r="K27" i="41"/>
  <c r="J27" i="41"/>
  <c r="H27" i="41"/>
  <c r="P22" i="41"/>
  <c r="O22" i="41"/>
  <c r="N22" i="41"/>
  <c r="M22" i="41"/>
  <c r="L22" i="41"/>
  <c r="K22" i="41"/>
  <c r="J22" i="41"/>
  <c r="I22" i="41"/>
  <c r="F22" i="41"/>
  <c r="E22" i="41"/>
  <c r="H22" i="41"/>
  <c r="G15" i="41"/>
  <c r="G5" i="41"/>
  <c r="G39" i="38"/>
  <c r="F39" i="38"/>
  <c r="E39" i="38"/>
  <c r="D39" i="38"/>
  <c r="C39" i="38"/>
  <c r="B39" i="38"/>
  <c r="K38" i="38"/>
  <c r="J38" i="38"/>
  <c r="H38" i="38"/>
  <c r="K37" i="38"/>
  <c r="J37" i="38"/>
  <c r="H37" i="38"/>
  <c r="K36" i="38"/>
  <c r="J36" i="38"/>
  <c r="H36" i="38"/>
  <c r="K35" i="38"/>
  <c r="J35" i="38"/>
  <c r="H35" i="38"/>
  <c r="K34" i="38"/>
  <c r="J34" i="38"/>
  <c r="H34" i="38"/>
  <c r="K33" i="38"/>
  <c r="J33" i="38"/>
  <c r="H33" i="38"/>
  <c r="K32" i="38"/>
  <c r="J32" i="38"/>
  <c r="H32" i="38"/>
  <c r="K31" i="38"/>
  <c r="J31" i="38"/>
  <c r="H31" i="38"/>
  <c r="K30" i="38"/>
  <c r="J30" i="38"/>
  <c r="H30" i="38"/>
  <c r="K29" i="38"/>
  <c r="J29" i="38"/>
  <c r="H29" i="38"/>
  <c r="K28" i="38"/>
  <c r="J28" i="38"/>
  <c r="H28" i="38"/>
  <c r="K27" i="38"/>
  <c r="J27" i="38"/>
  <c r="H27" i="38"/>
  <c r="P22" i="38"/>
  <c r="O22" i="38"/>
  <c r="N22" i="38"/>
  <c r="M22" i="38"/>
  <c r="L22" i="38"/>
  <c r="K22" i="38"/>
  <c r="J22" i="38"/>
  <c r="I22" i="38"/>
  <c r="F22" i="38"/>
  <c r="E22" i="38"/>
  <c r="G10" i="38"/>
  <c r="G5" i="38"/>
  <c r="G13" i="11"/>
  <c r="G10" i="11"/>
  <c r="E22" i="11"/>
  <c r="B39" i="11"/>
  <c r="P22" i="11"/>
  <c r="O22" i="11"/>
  <c r="H39" i="42" l="1"/>
  <c r="G22" i="38"/>
  <c r="B10" i="24"/>
  <c r="H22" i="42"/>
  <c r="K39" i="42"/>
  <c r="J39" i="42"/>
  <c r="G22" i="42"/>
  <c r="J39" i="41"/>
  <c r="K39" i="41"/>
  <c r="H39" i="41"/>
  <c r="G22" i="41"/>
  <c r="K39" i="38"/>
  <c r="H39" i="38"/>
  <c r="J39" i="38"/>
  <c r="G10" i="24"/>
  <c r="P22" i="23"/>
  <c r="B22" i="23" l="1"/>
  <c r="H22" i="23"/>
  <c r="K28" i="11"/>
  <c r="K29" i="11"/>
  <c r="K30" i="11"/>
  <c r="J28" i="11"/>
  <c r="J29" i="11"/>
  <c r="J30" i="11"/>
  <c r="H28" i="11"/>
  <c r="H29" i="11"/>
  <c r="K27" i="11"/>
  <c r="J27" i="11"/>
  <c r="H27" i="11"/>
  <c r="C39" i="11" l="1"/>
  <c r="D39" i="11"/>
  <c r="E39" i="11"/>
  <c r="F39" i="11"/>
  <c r="G39" i="11"/>
  <c r="F22" i="11"/>
  <c r="G22" i="11"/>
  <c r="I22" i="11"/>
  <c r="J22" i="11"/>
  <c r="K22" i="11"/>
  <c r="L22" i="11"/>
  <c r="M22" i="11"/>
  <c r="N22" i="11"/>
  <c r="H22" i="11" l="1"/>
  <c r="K31" i="11"/>
  <c r="K32" i="11"/>
  <c r="K33" i="11"/>
  <c r="K34" i="11"/>
  <c r="K35" i="11"/>
  <c r="K36" i="11"/>
  <c r="K37" i="11"/>
  <c r="K38" i="11"/>
  <c r="J31" i="11"/>
  <c r="J32" i="11"/>
  <c r="J33" i="11"/>
  <c r="J34" i="11"/>
  <c r="J35" i="11"/>
  <c r="J36" i="11"/>
  <c r="J37" i="11"/>
  <c r="J38" i="11"/>
  <c r="H30" i="11"/>
  <c r="H31" i="11"/>
  <c r="H32" i="11"/>
  <c r="H33" i="11"/>
  <c r="H34" i="11"/>
  <c r="H35" i="11"/>
  <c r="H36" i="11"/>
  <c r="H37" i="11"/>
  <c r="H38" i="11"/>
  <c r="O18" i="23" l="1"/>
  <c r="M18" i="23"/>
  <c r="O11" i="23" l="1"/>
  <c r="O12" i="23"/>
  <c r="O13" i="23"/>
  <c r="O14" i="23"/>
  <c r="O15" i="23"/>
  <c r="O16" i="23"/>
  <c r="O17" i="23"/>
  <c r="O19" i="23"/>
  <c r="O20" i="23"/>
  <c r="O21" i="23"/>
  <c r="M11" i="23"/>
  <c r="M13" i="23"/>
  <c r="M14" i="23"/>
  <c r="M15" i="23"/>
  <c r="M16" i="23"/>
  <c r="M17" i="23"/>
  <c r="M19" i="23"/>
  <c r="M20" i="23"/>
  <c r="M21" i="23"/>
  <c r="H11" i="24"/>
  <c r="H12" i="24"/>
  <c r="H13" i="24"/>
  <c r="H14" i="24"/>
  <c r="H15" i="24"/>
  <c r="H16" i="24"/>
  <c r="H17" i="24"/>
  <c r="H18" i="24"/>
  <c r="H19" i="24"/>
  <c r="H20" i="24"/>
  <c r="H21" i="24"/>
  <c r="H10" i="24"/>
  <c r="G11" i="24"/>
  <c r="G12" i="24"/>
  <c r="G13" i="24"/>
  <c r="G14" i="24"/>
  <c r="G15" i="24"/>
  <c r="G16" i="24"/>
  <c r="G17" i="24"/>
  <c r="G18" i="24"/>
  <c r="G19" i="24"/>
  <c r="G20" i="24"/>
  <c r="G21" i="24"/>
  <c r="B11" i="24"/>
  <c r="C11" i="24" s="1"/>
  <c r="D11" i="24" s="1"/>
  <c r="I11" i="24" s="1"/>
  <c r="B12" i="24"/>
  <c r="C12" i="24" s="1"/>
  <c r="D12" i="24" s="1"/>
  <c r="B13" i="24"/>
  <c r="C13" i="24" s="1"/>
  <c r="D13" i="24" s="1"/>
  <c r="B14" i="24"/>
  <c r="C14" i="24" s="1"/>
  <c r="D14" i="24" s="1"/>
  <c r="B15" i="24"/>
  <c r="C15" i="24" s="1"/>
  <c r="D15" i="24" s="1"/>
  <c r="B16" i="24"/>
  <c r="C16" i="24" s="1"/>
  <c r="D16" i="24" s="1"/>
  <c r="B17" i="24"/>
  <c r="C17" i="24" s="1"/>
  <c r="D17" i="24" s="1"/>
  <c r="B18" i="24"/>
  <c r="C18" i="24" s="1"/>
  <c r="D18" i="24" s="1"/>
  <c r="B19" i="24"/>
  <c r="C19" i="24" s="1"/>
  <c r="D19" i="24" s="1"/>
  <c r="B20" i="24"/>
  <c r="C20" i="24" s="1"/>
  <c r="D20" i="24" s="1"/>
  <c r="B21" i="24"/>
  <c r="C21" i="24" s="1"/>
  <c r="D21" i="24" s="1"/>
  <c r="N22" i="23"/>
  <c r="M22" i="23" l="1"/>
  <c r="G22" i="24"/>
  <c r="K22" i="23"/>
  <c r="J22" i="23"/>
  <c r="H22" i="24"/>
  <c r="C22" i="23"/>
  <c r="E22" i="23"/>
  <c r="C10" i="24"/>
  <c r="D10" i="24" s="1"/>
  <c r="I10" i="24" s="1"/>
  <c r="I22" i="23"/>
  <c r="D22" i="23"/>
  <c r="E12" i="24"/>
  <c r="J12" i="24" s="1"/>
  <c r="I12" i="24"/>
  <c r="E14" i="24"/>
  <c r="J14" i="24" s="1"/>
  <c r="I14" i="24"/>
  <c r="E16" i="24"/>
  <c r="J16" i="24" s="1"/>
  <c r="I16" i="24"/>
  <c r="E18" i="24"/>
  <c r="J18" i="24" s="1"/>
  <c r="I18" i="24"/>
  <c r="E20" i="24"/>
  <c r="J20" i="24" s="1"/>
  <c r="I20" i="24"/>
  <c r="E11" i="24"/>
  <c r="J11" i="24" s="1"/>
  <c r="K11" i="24" s="1"/>
  <c r="E13" i="24"/>
  <c r="J13" i="24" s="1"/>
  <c r="I13" i="24"/>
  <c r="E15" i="24"/>
  <c r="J15" i="24" s="1"/>
  <c r="I15" i="24"/>
  <c r="E17" i="24"/>
  <c r="J17" i="24" s="1"/>
  <c r="I17" i="24"/>
  <c r="E19" i="24"/>
  <c r="J19" i="24" s="1"/>
  <c r="I19" i="24"/>
  <c r="E21" i="24"/>
  <c r="J21" i="24" s="1"/>
  <c r="I21" i="24"/>
  <c r="O22" i="23"/>
  <c r="K14" i="24" l="1"/>
  <c r="M14" i="24" s="1"/>
  <c r="K12" i="24"/>
  <c r="M12" i="24" s="1"/>
  <c r="K13" i="24"/>
  <c r="M13" i="24" s="1"/>
  <c r="K21" i="24"/>
  <c r="M21" i="24" s="1"/>
  <c r="K17" i="24"/>
  <c r="M17" i="24" s="1"/>
  <c r="K20" i="24"/>
  <c r="M20" i="24" s="1"/>
  <c r="K16" i="24"/>
  <c r="M16" i="24" s="1"/>
  <c r="K15" i="24"/>
  <c r="M15" i="24" s="1"/>
  <c r="K18" i="24"/>
  <c r="M18" i="24" s="1"/>
  <c r="K19" i="24"/>
  <c r="M19" i="24" s="1"/>
  <c r="M11" i="24"/>
  <c r="C22" i="24"/>
  <c r="B22" i="24"/>
  <c r="E10" i="24"/>
  <c r="J10" i="24" s="1"/>
  <c r="K10" i="24" s="1"/>
  <c r="D22" i="24"/>
  <c r="M10" i="24" l="1"/>
  <c r="M22" i="24" s="1"/>
  <c r="I22" i="24"/>
  <c r="E22" i="24"/>
  <c r="J22" i="24" l="1"/>
  <c r="K22" i="24"/>
  <c r="J39" i="11" l="1"/>
  <c r="H39" i="11"/>
  <c r="K39" i="11" l="1"/>
</calcChain>
</file>

<file path=xl/sharedStrings.xml><?xml version="1.0" encoding="utf-8"?>
<sst xmlns="http://schemas.openxmlformats.org/spreadsheetml/2006/main" count="928" uniqueCount="145">
  <si>
    <t>LIVRE DE PAIE</t>
  </si>
  <si>
    <t>Jours</t>
  </si>
  <si>
    <t>Stat.</t>
  </si>
  <si>
    <t>Jours impos.</t>
  </si>
  <si>
    <t>Rémun. Base</t>
  </si>
  <si>
    <t>Brut Mensuel</t>
  </si>
  <si>
    <t>Cotisable</t>
  </si>
  <si>
    <t>Maladie</t>
  </si>
  <si>
    <t>Pension</t>
  </si>
  <si>
    <t>Imposable</t>
  </si>
  <si>
    <t>Impots</t>
  </si>
  <si>
    <t>Salaire Net</t>
  </si>
  <si>
    <t xml:space="preserve">Ancienneté </t>
  </si>
  <si>
    <t>Entrée</t>
  </si>
  <si>
    <t>Sortie</t>
  </si>
  <si>
    <t>SALAIRES PLUS     AVANCES MALADIE</t>
  </si>
  <si>
    <t>Heures</t>
  </si>
  <si>
    <t>Normal</t>
  </si>
  <si>
    <t>Suppl.</t>
  </si>
  <si>
    <t>Congés</t>
  </si>
  <si>
    <t>Férié extra</t>
  </si>
  <si>
    <t>Chômage</t>
  </si>
  <si>
    <t>RECAPITULATION ANNEE</t>
  </si>
  <si>
    <t>Impot</t>
  </si>
  <si>
    <t>NET</t>
  </si>
  <si>
    <t>Empl.</t>
  </si>
  <si>
    <t>Classe      -  %</t>
  </si>
  <si>
    <t>J     1-31</t>
  </si>
  <si>
    <t>F    1-28</t>
  </si>
  <si>
    <t>M   1-31</t>
  </si>
  <si>
    <t>A   1-30</t>
  </si>
  <si>
    <t>M  1-31</t>
  </si>
  <si>
    <t>J    1-30</t>
  </si>
  <si>
    <t>J    1-31</t>
  </si>
  <si>
    <t>A   1-31</t>
  </si>
  <si>
    <t>S    1-30</t>
  </si>
  <si>
    <t>O   1-31</t>
  </si>
  <si>
    <t>N   1-30</t>
  </si>
  <si>
    <t>D   1-31</t>
  </si>
  <si>
    <t xml:space="preserve"> </t>
  </si>
  <si>
    <t>N° 1</t>
  </si>
  <si>
    <t>Mois</t>
  </si>
  <si>
    <t>Impôt</t>
  </si>
  <si>
    <t>JAN</t>
  </si>
  <si>
    <t>FEV</t>
  </si>
  <si>
    <t>MAR</t>
  </si>
  <si>
    <t>AVR</t>
  </si>
  <si>
    <t>JUIL</t>
  </si>
  <si>
    <t>AOÛ</t>
  </si>
  <si>
    <t>SEP</t>
  </si>
  <si>
    <t>OCT</t>
  </si>
  <si>
    <t>NOV</t>
  </si>
  <si>
    <t>DEC</t>
  </si>
  <si>
    <t>Annuel</t>
  </si>
  <si>
    <t>SALAIRES PLUS  AVANCES MALADIE     PARTS PATRONALES</t>
  </si>
  <si>
    <t>Total Mensuel</t>
  </si>
  <si>
    <t>Total Securité Sociale</t>
  </si>
  <si>
    <t>Total Annuel</t>
  </si>
  <si>
    <t>Groupe Advensys Luxembourg SA</t>
  </si>
  <si>
    <t>Duarrefstrooss 49</t>
  </si>
  <si>
    <t>L-9964 HULDANGE</t>
  </si>
  <si>
    <t>Miodrag MILIC</t>
  </si>
  <si>
    <t>D588378</t>
  </si>
  <si>
    <t>N° 2</t>
  </si>
  <si>
    <t>Santé</t>
  </si>
  <si>
    <t>Coti. Maladie</t>
  </si>
  <si>
    <t>Coti. Pension</t>
  </si>
  <si>
    <t>Coti. Sante</t>
  </si>
  <si>
    <t>Coti. Accident</t>
  </si>
  <si>
    <t xml:space="preserve">J       </t>
  </si>
  <si>
    <t xml:space="preserve">F      </t>
  </si>
  <si>
    <t xml:space="preserve">M     </t>
  </si>
  <si>
    <t xml:space="preserve">A      </t>
  </si>
  <si>
    <t xml:space="preserve">S       </t>
  </si>
  <si>
    <t xml:space="preserve">O      </t>
  </si>
  <si>
    <t xml:space="preserve">N      </t>
  </si>
  <si>
    <t xml:space="preserve">D      </t>
  </si>
  <si>
    <t>CISSM</t>
  </si>
  <si>
    <t>CIS</t>
  </si>
  <si>
    <t>52, Grand-Rue</t>
  </si>
  <si>
    <t>L-9711 CLERVAUX</t>
  </si>
  <si>
    <t>N° 5</t>
  </si>
  <si>
    <t>Accident</t>
  </si>
  <si>
    <t>2015 22 06 748</t>
  </si>
  <si>
    <t>Déductions</t>
  </si>
  <si>
    <t>Congés familliale (COVID-19)</t>
  </si>
  <si>
    <t>MATRICULE N° 1989 11 24 004 47</t>
  </si>
  <si>
    <t>-</t>
  </si>
  <si>
    <t>N° 4</t>
  </si>
  <si>
    <t>MATRICULE N° 1996 09 05 124 86</t>
  </si>
  <si>
    <t>BERTHE Alexandra</t>
  </si>
  <si>
    <t>93, Duarrefstrooss</t>
  </si>
  <si>
    <t>L-9964 Huldange</t>
  </si>
  <si>
    <t>SANDRI Sandro</t>
  </si>
  <si>
    <t>24, Im Dahl</t>
  </si>
  <si>
    <t>L-9759 Knaphoscheid</t>
  </si>
  <si>
    <t>MATRICULE N° 1972 11 20 175 52</t>
  </si>
  <si>
    <t>D796015-2021</t>
  </si>
  <si>
    <t>JAUD Jean Paul</t>
  </si>
  <si>
    <t>5, rue Jean Pierre Sauvage</t>
  </si>
  <si>
    <t>L-2514 Luxembourg</t>
  </si>
  <si>
    <t>MATRICULE N° 1983 02 12 029 23</t>
  </si>
  <si>
    <t>Crédits</t>
  </si>
  <si>
    <t>MAI</t>
  </si>
  <si>
    <t>JUIN</t>
  </si>
  <si>
    <t>15% - 2</t>
  </si>
  <si>
    <t>D608388-2022</t>
  </si>
  <si>
    <t>Congés paternité</t>
  </si>
  <si>
    <t>MATRICULE N° 2000 01 31 750 80</t>
  </si>
  <si>
    <t>REBELO MATOS Daniel Filipe</t>
  </si>
  <si>
    <t>6, rue de Kautenbach</t>
  </si>
  <si>
    <t>L-9831 Consthum</t>
  </si>
  <si>
    <t>D896475</t>
  </si>
  <si>
    <t>N° 3</t>
  </si>
  <si>
    <t>CI-CO2</t>
  </si>
  <si>
    <t>2395,,6</t>
  </si>
  <si>
    <t>F    1-29</t>
  </si>
  <si>
    <t>BALDE Binta</t>
  </si>
  <si>
    <t>19A, Boulevard Konrad Adenauer</t>
  </si>
  <si>
    <t>L-1115 Luxembourg</t>
  </si>
  <si>
    <t>N° 6</t>
  </si>
  <si>
    <t>MATRICULE N° 2002 03 18 687 59</t>
  </si>
  <si>
    <t>D1124133-2024</t>
  </si>
  <si>
    <t>N° 7</t>
  </si>
  <si>
    <t>MATRICULE N° 1984 01 24 046 29</t>
  </si>
  <si>
    <t>Omigie Evbaguehize Stella</t>
  </si>
  <si>
    <t xml:space="preserve">26, Hauptstrooss </t>
  </si>
  <si>
    <t>L-9972 LIELER</t>
  </si>
  <si>
    <t>D1204976-2024</t>
  </si>
  <si>
    <t>1A</t>
  </si>
  <si>
    <t>Congés sans solde</t>
  </si>
  <si>
    <t>BEZGUBOV Tatiana</t>
  </si>
  <si>
    <t>2a, rue Hannelast</t>
  </si>
  <si>
    <t>L-9544 WILTZ</t>
  </si>
  <si>
    <t>MATRICULE N° 1968 11 01 017 86</t>
  </si>
  <si>
    <t>D1029363-2024</t>
  </si>
  <si>
    <t xml:space="preserve">RIFFAUD Jean François </t>
  </si>
  <si>
    <t>MATRICULE N° 1971 06 07 022 43</t>
  </si>
  <si>
    <t>2-15%</t>
  </si>
  <si>
    <t xml:space="preserve">BROERING Lucas José </t>
  </si>
  <si>
    <t>82, rue de Strasbourg</t>
  </si>
  <si>
    <t>L-2560 Luxembourg</t>
  </si>
  <si>
    <t>N° 8</t>
  </si>
  <si>
    <t>MATRICULE N° 1994 12 12 025 58</t>
  </si>
  <si>
    <t>D1196066-2024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</si>
</sst>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8" formatCode="#,##0.00\ &quot;€&quot;;[Red]\-#,##0.00\ &quot;€&quot;"/>
    <numFmt numFmtId="164" formatCode="[$-140C]General"/>
    <numFmt numFmtId="165" formatCode="dd/mm/yy"/>
  </numFmts>
  <fonts count="19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000000"/>
      <name val="Calibri"/>
      <family val="2"/>
    </font>
    <font>
      <sz val="11"/>
      <color indexed="8"/>
      <name val="Arial"/>
      <family val="2"/>
      <charset val="1"/>
    </font>
    <font>
      <sz val="11"/>
      <color indexed="8"/>
      <name val="Arial"/>
      <family val="2"/>
      <charset val="1"/>
    </font>
    <font>
      <b/>
      <sz val="11"/>
      <color indexed="8"/>
      <name val="Calibri"/>
      <family val="2"/>
    </font>
    <font>
      <sz val="11"/>
      <color indexed="8"/>
      <name val="Calibri"/>
      <family val="2"/>
    </font>
    <font>
      <sz val="11"/>
      <color indexed="8"/>
      <name val="Calibri"/>
      <family val="2"/>
      <charset val="1"/>
    </font>
    <font>
      <b/>
      <sz val="11"/>
      <color indexed="8"/>
      <name val="Arial"/>
      <family val="2"/>
      <charset val="1"/>
    </font>
    <font>
      <b/>
      <sz val="11"/>
      <color indexed="8"/>
      <name val="Calibri"/>
      <family val="2"/>
      <charset val="1"/>
    </font>
    <font>
      <b/>
      <sz val="11"/>
      <color indexed="8"/>
      <name val="Calibri"/>
      <family val="2"/>
    </font>
    <font>
      <sz val="11"/>
      <color indexed="8"/>
      <name val="Calibri"/>
      <family val="2"/>
    </font>
    <font>
      <i/>
      <sz val="11"/>
      <color indexed="8"/>
      <name val="Calibri"/>
      <family val="2"/>
      <charset val="1"/>
    </font>
    <font>
      <b/>
      <sz val="11"/>
      <color indexed="8"/>
      <name val="Arial"/>
      <family val="2"/>
      <charset val="1"/>
    </font>
    <font>
      <b/>
      <sz val="11"/>
      <color indexed="8"/>
      <name val="Calibri"/>
      <family val="2"/>
      <charset val="1"/>
    </font>
    <font>
      <b/>
      <i/>
      <sz val="11"/>
      <color indexed="8"/>
      <name val="Calibri"/>
      <family val="2"/>
    </font>
    <font>
      <sz val="10"/>
      <name val="Arial"/>
      <family val="2"/>
    </font>
    <font>
      <b/>
      <sz val="11"/>
      <color rgb="FF000000"/>
      <name val="Calibri"/>
      <family val="2"/>
    </font>
    <font>
      <sz val="8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indexed="9"/>
        <bgColor indexed="26"/>
      </patternFill>
    </fill>
    <fill>
      <patternFill patternType="solid">
        <fgColor rgb="FFFFFF00"/>
        <bgColor indexed="64"/>
      </patternFill>
    </fill>
  </fills>
  <borders count="5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indexed="8"/>
      </left>
      <right/>
      <top style="thin">
        <color indexed="8"/>
      </top>
      <bottom/>
      <diagonal/>
    </border>
    <border>
      <left/>
      <right/>
      <top style="thin">
        <color indexed="8"/>
      </top>
      <bottom style="thin">
        <color indexed="8"/>
      </bottom>
      <diagonal/>
    </border>
    <border>
      <left/>
      <right/>
      <top style="thin">
        <color indexed="8"/>
      </top>
      <bottom/>
      <diagonal/>
    </border>
    <border>
      <left/>
      <right style="hair">
        <color indexed="8"/>
      </right>
      <top style="thin">
        <color indexed="8"/>
      </top>
      <bottom/>
      <diagonal/>
    </border>
    <border>
      <left style="thin">
        <color indexed="8"/>
      </left>
      <right/>
      <top/>
      <bottom style="thin">
        <color indexed="8"/>
      </bottom>
      <diagonal/>
    </border>
    <border>
      <left/>
      <right/>
      <top/>
      <bottom style="thin">
        <color indexed="8"/>
      </bottom>
      <diagonal/>
    </border>
    <border>
      <left/>
      <right style="hair">
        <color indexed="8"/>
      </right>
      <top/>
      <bottom style="thin">
        <color indexed="8"/>
      </bottom>
      <diagonal/>
    </border>
    <border>
      <left/>
      <right/>
      <top style="hair">
        <color indexed="8"/>
      </top>
      <bottom/>
      <diagonal/>
    </border>
    <border>
      <left/>
      <right style="hair">
        <color indexed="8"/>
      </right>
      <top/>
      <bottom/>
      <diagonal/>
    </border>
    <border>
      <left/>
      <right/>
      <top/>
      <bottom style="hair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/>
      <bottom/>
      <diagonal/>
    </border>
    <border>
      <left style="medium">
        <color indexed="64"/>
      </left>
      <right style="thin">
        <color indexed="8"/>
      </right>
      <top style="medium">
        <color indexed="64"/>
      </top>
      <bottom style="medium">
        <color indexed="64"/>
      </bottom>
      <diagonal/>
    </border>
    <border>
      <left style="thin">
        <color indexed="8"/>
      </left>
      <right style="thin">
        <color indexed="8"/>
      </right>
      <top style="medium">
        <color indexed="64"/>
      </top>
      <bottom style="medium">
        <color indexed="64"/>
      </bottom>
      <diagonal/>
    </border>
    <border>
      <left style="thin">
        <color indexed="8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hair">
        <color indexed="8"/>
      </left>
      <right style="hair">
        <color indexed="8"/>
      </right>
      <top style="hair">
        <color indexed="8"/>
      </top>
      <bottom style="hair">
        <color indexed="8"/>
      </bottom>
      <diagonal/>
    </border>
    <border>
      <left style="hair">
        <color indexed="8"/>
      </left>
      <right style="hair">
        <color indexed="8"/>
      </right>
      <top style="hair">
        <color indexed="8"/>
      </top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8"/>
      </right>
      <top style="medium">
        <color indexed="8"/>
      </top>
      <bottom style="medium">
        <color indexed="8"/>
      </bottom>
      <diagonal/>
    </border>
    <border>
      <left style="thin">
        <color indexed="8"/>
      </left>
      <right style="thin">
        <color indexed="8"/>
      </right>
      <top style="medium">
        <color indexed="8"/>
      </top>
      <bottom style="medium">
        <color indexed="8"/>
      </bottom>
      <diagonal/>
    </border>
    <border>
      <left/>
      <right/>
      <top style="thin">
        <color indexed="64"/>
      </top>
      <bottom style="thin">
        <color indexed="8"/>
      </bottom>
      <diagonal/>
    </border>
    <border>
      <left/>
      <right/>
      <top style="thin">
        <color indexed="8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8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8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8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rgb="FF000000"/>
      </left>
      <right/>
      <top style="thin">
        <color indexed="8"/>
      </top>
      <bottom/>
      <diagonal/>
    </border>
  </borders>
  <cellStyleXfs count="4">
    <xf numFmtId="0" fontId="0" fillId="0" borderId="0"/>
    <xf numFmtId="164" fontId="2" fillId="0" borderId="0"/>
    <xf numFmtId="0" fontId="3" fillId="0" borderId="0"/>
    <xf numFmtId="0" fontId="16" fillId="0" borderId="0"/>
  </cellStyleXfs>
  <cellXfs count="205">
    <xf numFmtId="0" fontId="0" fillId="0" borderId="0" xfId="0"/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5" xfId="0" applyBorder="1"/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0" fillId="0" borderId="10" xfId="0" applyBorder="1"/>
    <xf numFmtId="0" fontId="0" fillId="0" borderId="11" xfId="0" applyBorder="1"/>
    <xf numFmtId="0" fontId="0" fillId="0" borderId="1" xfId="0" applyBorder="1"/>
    <xf numFmtId="0" fontId="0" fillId="0" borderId="12" xfId="0" applyBorder="1"/>
    <xf numFmtId="0" fontId="0" fillId="0" borderId="13" xfId="0" applyBorder="1"/>
    <xf numFmtId="0" fontId="1" fillId="0" borderId="5" xfId="0" applyFont="1" applyBorder="1"/>
    <xf numFmtId="0" fontId="1" fillId="0" borderId="6" xfId="0" applyFont="1" applyBorder="1"/>
    <xf numFmtId="0" fontId="1" fillId="0" borderId="10" xfId="0" applyFont="1" applyBorder="1"/>
    <xf numFmtId="0" fontId="1" fillId="0" borderId="11" xfId="0" applyFont="1" applyBorder="1"/>
    <xf numFmtId="164" fontId="2" fillId="0" borderId="16" xfId="1" applyBorder="1"/>
    <xf numFmtId="164" fontId="2" fillId="0" borderId="17" xfId="1" applyBorder="1"/>
    <xf numFmtId="2" fontId="0" fillId="0" borderId="0" xfId="0" applyNumberFormat="1"/>
    <xf numFmtId="0" fontId="4" fillId="0" borderId="18" xfId="2" applyFont="1" applyBorder="1"/>
    <xf numFmtId="0" fontId="5" fillId="0" borderId="20" xfId="2" applyFont="1" applyBorder="1"/>
    <xf numFmtId="0" fontId="5" fillId="0" borderId="21" xfId="2" applyFont="1" applyBorder="1"/>
    <xf numFmtId="0" fontId="5" fillId="0" borderId="0" xfId="2" applyFont="1" applyAlignment="1">
      <alignment horizontal="center" vertical="center"/>
    </xf>
    <xf numFmtId="0" fontId="5" fillId="0" borderId="0" xfId="2" applyFont="1"/>
    <xf numFmtId="0" fontId="4" fillId="0" borderId="0" xfId="2" applyFont="1"/>
    <xf numFmtId="0" fontId="4" fillId="0" borderId="22" xfId="2" applyFont="1" applyBorder="1"/>
    <xf numFmtId="0" fontId="5" fillId="0" borderId="23" xfId="2" applyFont="1" applyBorder="1"/>
    <xf numFmtId="0" fontId="5" fillId="0" borderId="24" xfId="2" applyFont="1" applyBorder="1"/>
    <xf numFmtId="0" fontId="4" fillId="0" borderId="25" xfId="2" applyFont="1" applyBorder="1"/>
    <xf numFmtId="0" fontId="4" fillId="0" borderId="20" xfId="2" applyFont="1" applyBorder="1"/>
    <xf numFmtId="0" fontId="4" fillId="0" borderId="21" xfId="2" applyFont="1" applyBorder="1"/>
    <xf numFmtId="0" fontId="6" fillId="0" borderId="0" xfId="2" applyFont="1" applyAlignment="1">
      <alignment horizontal="center"/>
    </xf>
    <xf numFmtId="165" fontId="4" fillId="0" borderId="0" xfId="2" applyNumberFormat="1" applyFont="1" applyAlignment="1">
      <alignment horizontal="center"/>
    </xf>
    <xf numFmtId="0" fontId="4" fillId="0" borderId="26" xfId="2" applyFont="1" applyBorder="1" applyAlignment="1">
      <alignment horizontal="left"/>
    </xf>
    <xf numFmtId="0" fontId="4" fillId="0" borderId="26" xfId="2" applyFont="1" applyBorder="1"/>
    <xf numFmtId="0" fontId="4" fillId="0" borderId="27" xfId="2" applyFont="1" applyBorder="1"/>
    <xf numFmtId="0" fontId="6" fillId="0" borderId="0" xfId="2" applyFont="1"/>
    <xf numFmtId="0" fontId="6" fillId="0" borderId="18" xfId="2" applyFont="1" applyBorder="1"/>
    <xf numFmtId="0" fontId="6" fillId="0" borderId="30" xfId="2" applyFont="1" applyBorder="1"/>
    <xf numFmtId="165" fontId="6" fillId="0" borderId="30" xfId="2" applyNumberFormat="1" applyFont="1" applyBorder="1"/>
    <xf numFmtId="0" fontId="8" fillId="0" borderId="31" xfId="2" applyFont="1" applyBorder="1"/>
    <xf numFmtId="0" fontId="6" fillId="0" borderId="0" xfId="2" applyFont="1" applyAlignment="1">
      <alignment horizontal="center" vertical="center"/>
    </xf>
    <xf numFmtId="0" fontId="5" fillId="0" borderId="0" xfId="2" applyFont="1" applyAlignment="1">
      <alignment horizontal="center"/>
    </xf>
    <xf numFmtId="0" fontId="6" fillId="2" borderId="0" xfId="2" applyFont="1" applyFill="1"/>
    <xf numFmtId="0" fontId="4" fillId="2" borderId="0" xfId="2" applyFont="1" applyFill="1"/>
    <xf numFmtId="0" fontId="4" fillId="0" borderId="0" xfId="2" applyFont="1" applyAlignment="1">
      <alignment horizontal="center" vertical="center"/>
    </xf>
    <xf numFmtId="165" fontId="6" fillId="0" borderId="0" xfId="2" applyNumberFormat="1" applyFont="1"/>
    <xf numFmtId="0" fontId="10" fillId="0" borderId="0" xfId="2" applyFont="1" applyAlignment="1">
      <alignment horizontal="center" vertical="center"/>
    </xf>
    <xf numFmtId="0" fontId="10" fillId="0" borderId="0" xfId="2" applyFont="1"/>
    <xf numFmtId="0" fontId="3" fillId="0" borderId="0" xfId="2"/>
    <xf numFmtId="0" fontId="3" fillId="0" borderId="22" xfId="2" applyBorder="1"/>
    <xf numFmtId="165" fontId="3" fillId="0" borderId="0" xfId="2" applyNumberFormat="1" applyAlignment="1">
      <alignment horizontal="center"/>
    </xf>
    <xf numFmtId="0" fontId="11" fillId="0" borderId="0" xfId="2" applyFont="1" applyAlignment="1">
      <alignment horizontal="right"/>
    </xf>
    <xf numFmtId="0" fontId="11" fillId="0" borderId="0" xfId="2" applyFont="1" applyAlignment="1">
      <alignment horizontal="center"/>
    </xf>
    <xf numFmtId="0" fontId="11" fillId="0" borderId="29" xfId="2" applyFont="1" applyBorder="1"/>
    <xf numFmtId="0" fontId="11" fillId="0" borderId="0" xfId="2" applyFont="1"/>
    <xf numFmtId="0" fontId="11" fillId="0" borderId="18" xfId="2" applyFont="1" applyBorder="1"/>
    <xf numFmtId="0" fontId="11" fillId="0" borderId="30" xfId="2" applyFont="1" applyBorder="1"/>
    <xf numFmtId="0" fontId="13" fillId="0" borderId="31" xfId="2" applyFont="1" applyBorder="1"/>
    <xf numFmtId="0" fontId="10" fillId="0" borderId="37" xfId="2" applyFont="1" applyBorder="1"/>
    <xf numFmtId="0" fontId="11" fillId="0" borderId="0" xfId="2" applyFont="1" applyAlignment="1">
      <alignment horizontal="center" vertical="center"/>
    </xf>
    <xf numFmtId="0" fontId="10" fillId="0" borderId="0" xfId="2" applyFont="1" applyAlignment="1">
      <alignment horizontal="center"/>
    </xf>
    <xf numFmtId="0" fontId="11" fillId="2" borderId="0" xfId="2" applyFont="1" applyFill="1"/>
    <xf numFmtId="0" fontId="3" fillId="2" borderId="0" xfId="2" applyFill="1"/>
    <xf numFmtId="0" fontId="3" fillId="0" borderId="0" xfId="2" applyAlignment="1">
      <alignment horizontal="center" vertical="center"/>
    </xf>
    <xf numFmtId="165" fontId="11" fillId="0" borderId="0" xfId="2" applyNumberFormat="1" applyFont="1"/>
    <xf numFmtId="0" fontId="16" fillId="0" borderId="0" xfId="3"/>
    <xf numFmtId="0" fontId="5" fillId="0" borderId="36" xfId="2" applyFont="1" applyBorder="1"/>
    <xf numFmtId="0" fontId="3" fillId="0" borderId="4" xfId="2" applyBorder="1"/>
    <xf numFmtId="0" fontId="3" fillId="0" borderId="9" xfId="2" applyBorder="1"/>
    <xf numFmtId="0" fontId="0" fillId="0" borderId="42" xfId="0" applyBorder="1"/>
    <xf numFmtId="0" fontId="6" fillId="0" borderId="43" xfId="2" applyFont="1" applyBorder="1"/>
    <xf numFmtId="0" fontId="4" fillId="0" borderId="10" xfId="2" applyFont="1" applyBorder="1"/>
    <xf numFmtId="0" fontId="6" fillId="0" borderId="48" xfId="2" applyFont="1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2" fontId="0" fillId="0" borderId="2" xfId="0" applyNumberFormat="1" applyBorder="1" applyAlignment="1">
      <alignment horizontal="center" vertical="center"/>
    </xf>
    <xf numFmtId="2" fontId="0" fillId="0" borderId="3" xfId="0" applyNumberFormat="1" applyBorder="1" applyAlignment="1">
      <alignment horizontal="center" vertical="center"/>
    </xf>
    <xf numFmtId="2" fontId="0" fillId="0" borderId="13" xfId="0" applyNumberFormat="1" applyBorder="1" applyAlignment="1">
      <alignment horizontal="center" vertical="center"/>
    </xf>
    <xf numFmtId="2" fontId="0" fillId="0" borderId="49" xfId="0" applyNumberFormat="1" applyBorder="1" applyAlignment="1">
      <alignment horizontal="center" vertical="center"/>
    </xf>
    <xf numFmtId="0" fontId="0" fillId="0" borderId="41" xfId="0" applyBorder="1" applyAlignment="1">
      <alignment horizontal="center" vertical="center"/>
    </xf>
    <xf numFmtId="164" fontId="2" fillId="0" borderId="4" xfId="1" applyBorder="1" applyAlignment="1">
      <alignment horizontal="center" vertical="center"/>
    </xf>
    <xf numFmtId="164" fontId="2" fillId="0" borderId="7" xfId="1" applyBorder="1" applyAlignment="1">
      <alignment horizontal="center" vertical="center"/>
    </xf>
    <xf numFmtId="2" fontId="6" fillId="0" borderId="2" xfId="2" applyNumberFormat="1" applyFont="1" applyBorder="1" applyAlignment="1">
      <alignment horizontal="center" vertical="center"/>
    </xf>
    <xf numFmtId="2" fontId="6" fillId="0" borderId="3" xfId="2" applyNumberFormat="1" applyFont="1" applyBorder="1" applyAlignment="1">
      <alignment horizontal="center" vertical="center"/>
    </xf>
    <xf numFmtId="2" fontId="11" fillId="0" borderId="2" xfId="2" applyNumberFormat="1" applyFont="1" applyBorder="1" applyAlignment="1">
      <alignment horizontal="center" vertical="center"/>
    </xf>
    <xf numFmtId="2" fontId="11" fillId="0" borderId="5" xfId="2" applyNumberFormat="1" applyFont="1" applyBorder="1" applyAlignment="1">
      <alignment horizontal="center" vertical="center"/>
    </xf>
    <xf numFmtId="2" fontId="11" fillId="0" borderId="4" xfId="2" applyNumberFormat="1" applyFont="1" applyBorder="1" applyAlignment="1">
      <alignment horizontal="center" vertical="center"/>
    </xf>
    <xf numFmtId="2" fontId="11" fillId="0" borderId="20" xfId="2" applyNumberFormat="1" applyFont="1" applyBorder="1" applyAlignment="1">
      <alignment horizontal="center" vertical="center"/>
    </xf>
    <xf numFmtId="2" fontId="11" fillId="0" borderId="0" xfId="2" applyNumberFormat="1" applyFont="1" applyAlignment="1">
      <alignment horizontal="center" vertical="center"/>
    </xf>
    <xf numFmtId="2" fontId="11" fillId="0" borderId="3" xfId="2" applyNumberFormat="1" applyFont="1" applyBorder="1" applyAlignment="1">
      <alignment horizontal="center" vertical="center"/>
    </xf>
    <xf numFmtId="2" fontId="11" fillId="0" borderId="7" xfId="2" applyNumberFormat="1" applyFont="1" applyBorder="1" applyAlignment="1">
      <alignment horizontal="center" vertical="center"/>
    </xf>
    <xf numFmtId="2" fontId="14" fillId="0" borderId="32" xfId="2" applyNumberFormat="1" applyFont="1" applyBorder="1" applyAlignment="1">
      <alignment horizontal="center" vertical="center"/>
    </xf>
    <xf numFmtId="2" fontId="14" fillId="0" borderId="33" xfId="2" applyNumberFormat="1" applyFont="1" applyBorder="1" applyAlignment="1">
      <alignment horizontal="center" vertical="center"/>
    </xf>
    <xf numFmtId="2" fontId="10" fillId="0" borderId="36" xfId="2" applyNumberFormat="1" applyFont="1" applyBorder="1" applyAlignment="1">
      <alignment horizontal="center" vertical="center"/>
    </xf>
    <xf numFmtId="2" fontId="10" fillId="0" borderId="31" xfId="2" applyNumberFormat="1" applyFont="1" applyBorder="1" applyAlignment="1">
      <alignment horizontal="center" vertical="center"/>
    </xf>
    <xf numFmtId="2" fontId="0" fillId="0" borderId="7" xfId="0" applyNumberForma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2" fontId="0" fillId="0" borderId="4" xfId="0" applyNumberFormat="1" applyBorder="1" applyAlignment="1">
      <alignment horizontal="center" vertical="center"/>
    </xf>
    <xf numFmtId="0" fontId="6" fillId="0" borderId="2" xfId="2" applyFont="1" applyBorder="1" applyAlignment="1">
      <alignment horizontal="center"/>
    </xf>
    <xf numFmtId="2" fontId="9" fillId="0" borderId="32" xfId="2" applyNumberFormat="1" applyFont="1" applyBorder="1" applyAlignment="1">
      <alignment horizontal="center" vertical="center"/>
    </xf>
    <xf numFmtId="2" fontId="9" fillId="0" borderId="33" xfId="2" applyNumberFormat="1" applyFont="1" applyBorder="1" applyAlignment="1">
      <alignment horizontal="center" vertical="center"/>
    </xf>
    <xf numFmtId="0" fontId="6" fillId="0" borderId="2" xfId="2" applyFont="1" applyBorder="1" applyAlignment="1">
      <alignment horizontal="center" vertical="center"/>
    </xf>
    <xf numFmtId="2" fontId="10" fillId="0" borderId="50" xfId="2" applyNumberFormat="1" applyFont="1" applyBorder="1" applyAlignment="1">
      <alignment horizontal="center" vertical="center"/>
    </xf>
    <xf numFmtId="2" fontId="10" fillId="0" borderId="41" xfId="2" applyNumberFormat="1" applyFont="1" applyBorder="1" applyAlignment="1">
      <alignment horizontal="center" vertical="center"/>
    </xf>
    <xf numFmtId="2" fontId="9" fillId="0" borderId="50" xfId="2" applyNumberFormat="1" applyFont="1" applyBorder="1" applyAlignment="1">
      <alignment horizontal="center" vertical="center"/>
    </xf>
    <xf numFmtId="2" fontId="9" fillId="0" borderId="51" xfId="2" applyNumberFormat="1" applyFont="1" applyBorder="1" applyAlignment="1">
      <alignment horizontal="center" vertical="center"/>
    </xf>
    <xf numFmtId="2" fontId="9" fillId="0" borderId="41" xfId="2" applyNumberFormat="1" applyFont="1" applyBorder="1" applyAlignment="1">
      <alignment horizontal="center" vertical="center"/>
    </xf>
    <xf numFmtId="2" fontId="0" fillId="0" borderId="6" xfId="0" applyNumberFormat="1" applyBorder="1" applyAlignment="1">
      <alignment horizontal="center" vertical="center"/>
    </xf>
    <xf numFmtId="2" fontId="0" fillId="0" borderId="8" xfId="0" applyNumberFormat="1" applyBorder="1" applyAlignment="1">
      <alignment horizontal="center" vertical="center"/>
    </xf>
    <xf numFmtId="0" fontId="0" fillId="0" borderId="1" xfId="0" applyBorder="1" applyAlignment="1">
      <alignment horizontal="center"/>
    </xf>
    <xf numFmtId="2" fontId="10" fillId="0" borderId="42" xfId="2" applyNumberFormat="1" applyFont="1" applyBorder="1" applyAlignment="1">
      <alignment horizontal="center" vertical="center"/>
    </xf>
    <xf numFmtId="8" fontId="4" fillId="0" borderId="0" xfId="2" applyNumberFormat="1" applyFont="1"/>
    <xf numFmtId="2" fontId="5" fillId="0" borderId="32" xfId="2" applyNumberFormat="1" applyFont="1" applyBorder="1" applyAlignment="1">
      <alignment horizontal="center" vertical="center"/>
    </xf>
    <xf numFmtId="2" fontId="11" fillId="0" borderId="6" xfId="2" applyNumberFormat="1" applyFont="1" applyBorder="1" applyAlignment="1">
      <alignment horizontal="center" vertical="center"/>
    </xf>
    <xf numFmtId="2" fontId="11" fillId="0" borderId="8" xfId="2" applyNumberFormat="1" applyFont="1" applyBorder="1" applyAlignment="1">
      <alignment horizontal="center" vertical="center"/>
    </xf>
    <xf numFmtId="0" fontId="0" fillId="0" borderId="2" xfId="0" applyBorder="1" applyAlignment="1">
      <alignment horizontal="center"/>
    </xf>
    <xf numFmtId="0" fontId="0" fillId="0" borderId="13" xfId="0" applyBorder="1" applyAlignment="1">
      <alignment horizontal="center"/>
    </xf>
    <xf numFmtId="0" fontId="1" fillId="3" borderId="8" xfId="0" applyFont="1" applyFill="1" applyBorder="1"/>
    <xf numFmtId="9" fontId="0" fillId="0" borderId="4" xfId="0" applyNumberFormat="1" applyBorder="1" applyAlignment="1">
      <alignment horizontal="center" vertical="center"/>
    </xf>
    <xf numFmtId="9" fontId="0" fillId="0" borderId="7" xfId="0" applyNumberFormat="1" applyBorder="1" applyAlignment="1">
      <alignment horizontal="center" vertical="center"/>
    </xf>
    <xf numFmtId="0" fontId="4" fillId="0" borderId="0" xfId="2" applyFont="1" applyAlignment="1">
      <alignment horizontal="center"/>
    </xf>
    <xf numFmtId="2" fontId="6" fillId="0" borderId="55" xfId="2" applyNumberFormat="1" applyFont="1" applyBorder="1" applyAlignment="1">
      <alignment horizontal="center" vertical="center"/>
    </xf>
    <xf numFmtId="0" fontId="6" fillId="0" borderId="4" xfId="2" applyFont="1" applyBorder="1" applyAlignment="1">
      <alignment horizontal="center"/>
    </xf>
    <xf numFmtId="0" fontId="6" fillId="0" borderId="6" xfId="2" applyFont="1" applyBorder="1" applyAlignment="1">
      <alignment horizontal="center"/>
    </xf>
    <xf numFmtId="0" fontId="6" fillId="0" borderId="44" xfId="2" applyFont="1" applyBorder="1" applyAlignment="1">
      <alignment horizontal="center"/>
    </xf>
    <xf numFmtId="0" fontId="6" fillId="0" borderId="5" xfId="2" applyFont="1" applyBorder="1" applyAlignment="1">
      <alignment horizontal="center"/>
    </xf>
    <xf numFmtId="0" fontId="3" fillId="0" borderId="0" xfId="2" applyAlignment="1">
      <alignment horizontal="center"/>
    </xf>
    <xf numFmtId="0" fontId="10" fillId="0" borderId="5" xfId="2" applyFont="1" applyBorder="1" applyAlignment="1">
      <alignment horizontal="center"/>
    </xf>
    <xf numFmtId="0" fontId="10" fillId="0" borderId="6" xfId="2" applyFont="1" applyBorder="1" applyAlignment="1">
      <alignment horizontal="center"/>
    </xf>
    <xf numFmtId="0" fontId="10" fillId="0" borderId="10" xfId="2" applyFont="1" applyBorder="1" applyAlignment="1">
      <alignment horizontal="center"/>
    </xf>
    <xf numFmtId="0" fontId="10" fillId="0" borderId="11" xfId="2" applyFont="1" applyBorder="1" applyAlignment="1">
      <alignment horizontal="center"/>
    </xf>
    <xf numFmtId="0" fontId="3" fillId="0" borderId="26" xfId="2" applyBorder="1" applyAlignment="1">
      <alignment horizontal="center"/>
    </xf>
    <xf numFmtId="0" fontId="3" fillId="0" borderId="23" xfId="2" applyBorder="1" applyAlignment="1">
      <alignment horizontal="center"/>
    </xf>
    <xf numFmtId="0" fontId="3" fillId="0" borderId="27" xfId="2" applyBorder="1" applyAlignment="1">
      <alignment horizontal="center"/>
    </xf>
    <xf numFmtId="0" fontId="3" fillId="0" borderId="24" xfId="2" applyBorder="1" applyAlignment="1">
      <alignment horizontal="center"/>
    </xf>
    <xf numFmtId="0" fontId="6" fillId="0" borderId="28" xfId="2" applyFont="1" applyBorder="1" applyAlignment="1">
      <alignment horizontal="center"/>
    </xf>
    <xf numFmtId="0" fontId="11" fillId="0" borderId="29" xfId="2" applyFont="1" applyBorder="1" applyAlignment="1">
      <alignment horizontal="center"/>
    </xf>
    <xf numFmtId="0" fontId="11" fillId="0" borderId="28" xfId="2" applyFont="1" applyBorder="1" applyAlignment="1">
      <alignment horizontal="center"/>
    </xf>
    <xf numFmtId="164" fontId="17" fillId="0" borderId="0" xfId="1" applyFont="1" applyAlignment="1">
      <alignment horizontal="center"/>
    </xf>
    <xf numFmtId="164" fontId="2" fillId="0" borderId="0" xfId="1" applyAlignment="1">
      <alignment horizontal="center"/>
    </xf>
    <xf numFmtId="0" fontId="1" fillId="3" borderId="5" xfId="0" applyFont="1" applyFill="1" applyBorder="1" applyAlignment="1">
      <alignment horizontal="center" vertical="center"/>
    </xf>
    <xf numFmtId="0" fontId="1" fillId="3" borderId="10" xfId="0" applyFont="1" applyFill="1" applyBorder="1" applyAlignment="1">
      <alignment horizontal="center" vertical="center"/>
    </xf>
    <xf numFmtId="2" fontId="0" fillId="0" borderId="7" xfId="0" applyNumberFormat="1" applyBorder="1" applyAlignment="1">
      <alignment horizontal="center" vertical="center"/>
    </xf>
    <xf numFmtId="2" fontId="0" fillId="0" borderId="0" xfId="0" applyNumberFormat="1" applyAlignment="1">
      <alignment horizontal="center" vertical="center"/>
    </xf>
    <xf numFmtId="2" fontId="0" fillId="0" borderId="47" xfId="0" applyNumberFormat="1" applyBorder="1" applyAlignment="1">
      <alignment horizontal="center" vertical="center"/>
    </xf>
    <xf numFmtId="2" fontId="0" fillId="0" borderId="14" xfId="0" applyNumberFormat="1" applyBorder="1" applyAlignment="1">
      <alignment horizontal="center" vertical="center"/>
    </xf>
    <xf numFmtId="14" fontId="0" fillId="0" borderId="0" xfId="0" applyNumberFormat="1" applyAlignment="1">
      <alignment horizontal="center"/>
    </xf>
    <xf numFmtId="0" fontId="0" fillId="0" borderId="1" xfId="0" applyBorder="1" applyAlignment="1">
      <alignment horizontal="center" vertical="center"/>
    </xf>
    <xf numFmtId="0" fontId="1" fillId="0" borderId="4" xfId="0" applyFont="1" applyBorder="1" applyAlignment="1">
      <alignment horizontal="center"/>
    </xf>
    <xf numFmtId="0" fontId="1" fillId="0" borderId="5" xfId="0" applyFont="1" applyBorder="1" applyAlignment="1">
      <alignment horizontal="center"/>
    </xf>
    <xf numFmtId="0" fontId="1" fillId="0" borderId="6" xfId="0" applyFont="1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6" xfId="0" applyBorder="1" applyAlignment="1">
      <alignment horizontal="center"/>
    </xf>
    <xf numFmtId="2" fontId="0" fillId="0" borderId="4" xfId="0" applyNumberFormat="1" applyBorder="1" applyAlignment="1">
      <alignment horizontal="center" vertical="center"/>
    </xf>
    <xf numFmtId="2" fontId="0" fillId="0" borderId="5" xfId="0" applyNumberFormat="1" applyBorder="1" applyAlignment="1">
      <alignment horizontal="center" vertical="center"/>
    </xf>
    <xf numFmtId="0" fontId="0" fillId="0" borderId="7" xfId="0" applyBorder="1" applyAlignment="1">
      <alignment horizontal="center"/>
    </xf>
    <xf numFmtId="0" fontId="0" fillId="0" borderId="0" xfId="0" applyAlignment="1">
      <alignment horizontal="center"/>
    </xf>
    <xf numFmtId="0" fontId="0" fillId="0" borderId="2" xfId="0" applyBorder="1" applyAlignment="1">
      <alignment horizontal="center" vertical="center" wrapText="1"/>
    </xf>
    <xf numFmtId="0" fontId="0" fillId="0" borderId="54" xfId="0" applyBorder="1" applyAlignment="1">
      <alignment horizontal="center" vertical="center" wrapText="1"/>
    </xf>
    <xf numFmtId="1" fontId="0" fillId="0" borderId="7" xfId="0" applyNumberFormat="1" applyBorder="1" applyAlignment="1">
      <alignment horizontal="center"/>
    </xf>
    <xf numFmtId="1" fontId="0" fillId="0" borderId="0" xfId="0" applyNumberFormat="1" applyAlignment="1">
      <alignment horizontal="center"/>
    </xf>
    <xf numFmtId="1" fontId="0" fillId="0" borderId="8" xfId="0" applyNumberFormat="1" applyBorder="1" applyAlignment="1">
      <alignment horizontal="center"/>
    </xf>
    <xf numFmtId="0" fontId="1" fillId="0" borderId="5" xfId="0" applyFont="1" applyBorder="1" applyAlignment="1">
      <alignment horizontal="center" vertical="center"/>
    </xf>
    <xf numFmtId="0" fontId="1" fillId="0" borderId="10" xfId="0" applyFont="1" applyBorder="1" applyAlignment="1">
      <alignment horizontal="center" vertical="center"/>
    </xf>
    <xf numFmtId="164" fontId="17" fillId="0" borderId="53" xfId="1" applyFont="1" applyBorder="1" applyAlignment="1">
      <alignment horizontal="center"/>
    </xf>
    <xf numFmtId="164" fontId="17" fillId="0" borderId="5" xfId="1" applyFont="1" applyBorder="1" applyAlignment="1">
      <alignment horizontal="center"/>
    </xf>
    <xf numFmtId="164" fontId="17" fillId="0" borderId="6" xfId="1" applyFont="1" applyBorder="1" applyAlignment="1">
      <alignment horizontal="center"/>
    </xf>
    <xf numFmtId="164" fontId="2" fillId="0" borderId="15" xfId="1" applyBorder="1" applyAlignment="1">
      <alignment horizontal="center"/>
    </xf>
    <xf numFmtId="164" fontId="2" fillId="0" borderId="8" xfId="1" applyBorder="1" applyAlignment="1">
      <alignment horizontal="center"/>
    </xf>
    <xf numFmtId="14" fontId="1" fillId="0" borderId="0" xfId="0" applyNumberFormat="1" applyFont="1" applyAlignment="1">
      <alignment horizontal="center"/>
    </xf>
    <xf numFmtId="0" fontId="0" fillId="0" borderId="46" xfId="0" applyBorder="1" applyAlignment="1">
      <alignment horizontal="center"/>
    </xf>
    <xf numFmtId="0" fontId="0" fillId="0" borderId="52" xfId="0" applyBorder="1" applyAlignment="1">
      <alignment horizontal="center"/>
    </xf>
    <xf numFmtId="0" fontId="0" fillId="0" borderId="1" xfId="0" applyBorder="1" applyAlignment="1">
      <alignment horizontal="center" vertical="center" wrapText="1"/>
    </xf>
    <xf numFmtId="2" fontId="5" fillId="0" borderId="31" xfId="2" applyNumberFormat="1" applyFont="1" applyBorder="1" applyAlignment="1">
      <alignment horizontal="center" vertical="center"/>
    </xf>
    <xf numFmtId="2" fontId="5" fillId="0" borderId="32" xfId="2" applyNumberFormat="1" applyFont="1" applyBorder="1" applyAlignment="1">
      <alignment horizontal="center" vertical="center"/>
    </xf>
    <xf numFmtId="0" fontId="5" fillId="0" borderId="19" xfId="2" applyFont="1" applyBorder="1" applyAlignment="1">
      <alignment horizontal="center" vertical="center"/>
    </xf>
    <xf numFmtId="0" fontId="5" fillId="3" borderId="19" xfId="2" applyFont="1" applyFill="1" applyBorder="1" applyAlignment="1">
      <alignment horizontal="center" vertical="center"/>
    </xf>
    <xf numFmtId="0" fontId="5" fillId="0" borderId="45" xfId="2" applyFont="1" applyBorder="1" applyAlignment="1">
      <alignment horizontal="center"/>
    </xf>
    <xf numFmtId="0" fontId="6" fillId="0" borderId="30" xfId="2" applyFont="1" applyBorder="1" applyAlignment="1">
      <alignment horizontal="center"/>
    </xf>
    <xf numFmtId="164" fontId="17" fillId="0" borderId="56" xfId="1" applyFont="1" applyBorder="1" applyAlignment="1">
      <alignment horizontal="center"/>
    </xf>
    <xf numFmtId="164" fontId="17" fillId="0" borderId="20" xfId="1" applyFont="1" applyBorder="1" applyAlignment="1">
      <alignment horizontal="center"/>
    </xf>
    <xf numFmtId="2" fontId="15" fillId="0" borderId="38" xfId="2" applyNumberFormat="1" applyFont="1" applyBorder="1" applyAlignment="1">
      <alignment horizontal="center"/>
    </xf>
    <xf numFmtId="2" fontId="12" fillId="0" borderId="35" xfId="2" applyNumberFormat="1" applyFont="1" applyBorder="1" applyAlignment="1">
      <alignment horizontal="center" vertical="center"/>
    </xf>
    <xf numFmtId="0" fontId="12" fillId="0" borderId="35" xfId="2" applyFont="1" applyBorder="1" applyAlignment="1">
      <alignment horizontal="center" vertical="center"/>
    </xf>
    <xf numFmtId="0" fontId="10" fillId="0" borderId="39" xfId="2" applyFont="1" applyBorder="1" applyAlignment="1">
      <alignment horizontal="center" vertical="center"/>
    </xf>
    <xf numFmtId="0" fontId="10" fillId="0" borderId="40" xfId="2" applyFont="1" applyBorder="1" applyAlignment="1">
      <alignment horizontal="center" vertical="center"/>
    </xf>
    <xf numFmtId="0" fontId="10" fillId="3" borderId="39" xfId="2" applyFont="1" applyFill="1" applyBorder="1" applyAlignment="1">
      <alignment horizontal="center" vertical="center"/>
    </xf>
    <xf numFmtId="0" fontId="10" fillId="3" borderId="40" xfId="2" applyFont="1" applyFill="1" applyBorder="1" applyAlignment="1">
      <alignment horizontal="center" vertical="center"/>
    </xf>
    <xf numFmtId="0" fontId="10" fillId="0" borderId="5" xfId="2" applyFont="1" applyBorder="1" applyAlignment="1">
      <alignment horizontal="center" vertical="center"/>
    </xf>
    <xf numFmtId="0" fontId="10" fillId="0" borderId="28" xfId="2" applyFont="1" applyBorder="1" applyAlignment="1">
      <alignment horizontal="center"/>
    </xf>
    <xf numFmtId="0" fontId="11" fillId="0" borderId="34" xfId="2" applyFont="1" applyBorder="1" applyAlignment="1">
      <alignment horizontal="center"/>
    </xf>
    <xf numFmtId="0" fontId="4" fillId="0" borderId="4" xfId="2" applyFont="1" applyBorder="1" applyAlignment="1">
      <alignment horizontal="center"/>
    </xf>
    <xf numFmtId="0" fontId="6" fillId="0" borderId="2" xfId="2" applyFont="1" applyBorder="1"/>
    <xf numFmtId="2" fontId="7" fillId="0" borderId="2" xfId="2" applyNumberFormat="1" applyFont="1" applyBorder="1" applyAlignment="1">
      <alignment horizontal="center" vertical="center"/>
    </xf>
    <xf numFmtId="0" fontId="6" fillId="0" borderId="3" xfId="2" applyFont="1" applyBorder="1"/>
    <xf numFmtId="2" fontId="7" fillId="0" borderId="3" xfId="2" applyNumberFormat="1" applyFont="1" applyBorder="1" applyAlignment="1">
      <alignment horizontal="center" vertical="center"/>
    </xf>
    <xf numFmtId="0" fontId="6" fillId="0" borderId="55" xfId="2" applyFont="1" applyBorder="1"/>
    <xf numFmtId="2" fontId="7" fillId="0" borderId="55" xfId="2" applyNumberFormat="1" applyFont="1" applyBorder="1" applyAlignment="1">
      <alignment horizontal="center" vertical="center"/>
    </xf>
  </cellXfs>
  <cellStyles count="4">
    <cellStyle name="Excel Built-in Normal" xfId="1" xr:uid="{D2A99F2C-D034-44F8-9C74-D62DFF575E36}"/>
    <cellStyle name="Excel Built-in Normal 2" xfId="2" xr:uid="{A9CE7052-AA0B-40D7-9786-44CC3C2874DB}"/>
    <cellStyle name="Normal" xfId="0" builtinId="0"/>
    <cellStyle name="Normal 2" xfId="3" xr:uid="{86B40D27-66C3-41D2-B0D0-5FF16D48DF7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Q39"/>
  <sheetViews>
    <sheetView workbookViewId="0">
      <selection activeCell="P32" sqref="P32"/>
    </sheetView>
  </sheetViews>
  <sheetFormatPr defaultColWidth="11.42578125" defaultRowHeight="15" x14ac:dyDescent="0.25"/>
  <cols>
    <col min="1" max="1" width="11.140625" customWidth="1"/>
    <col min="2" max="2" width="12" customWidth="1"/>
    <col min="3" max="16" width="15.28515625" customWidth="1"/>
  </cols>
  <sheetData>
    <row r="2" spans="1:16" x14ac:dyDescent="0.25">
      <c r="A2" s="3"/>
      <c r="B2" s="169" t="s">
        <v>0</v>
      </c>
      <c r="C2" s="14"/>
      <c r="D2" s="147">
        <v>2024</v>
      </c>
      <c r="E2" s="14"/>
      <c r="F2" s="169" t="s">
        <v>15</v>
      </c>
      <c r="G2" s="169"/>
      <c r="H2" s="169"/>
      <c r="I2" s="169"/>
      <c r="J2" s="14"/>
      <c r="K2" s="14"/>
      <c r="L2" s="147" t="s">
        <v>86</v>
      </c>
      <c r="M2" s="147"/>
      <c r="N2" s="147"/>
      <c r="O2" s="14"/>
      <c r="P2" s="15"/>
    </row>
    <row r="3" spans="1:16" x14ac:dyDescent="0.25">
      <c r="A3" s="8"/>
      <c r="B3" s="170"/>
      <c r="C3" s="16"/>
      <c r="D3" s="148"/>
      <c r="E3" s="16"/>
      <c r="F3" s="170"/>
      <c r="G3" s="170"/>
      <c r="H3" s="170"/>
      <c r="I3" s="170"/>
      <c r="J3" s="16"/>
      <c r="K3" s="16"/>
      <c r="L3" s="148"/>
      <c r="M3" s="148"/>
      <c r="N3" s="148"/>
      <c r="O3" s="16"/>
      <c r="P3" s="17"/>
    </row>
    <row r="4" spans="1:16" x14ac:dyDescent="0.25">
      <c r="A4" s="171" t="s">
        <v>58</v>
      </c>
      <c r="B4" s="172"/>
      <c r="C4" s="172"/>
      <c r="D4" s="173"/>
      <c r="E4" s="3"/>
      <c r="F4" s="4"/>
      <c r="G4" s="4"/>
      <c r="H4" s="4"/>
      <c r="I4" s="4"/>
      <c r="J4" s="4"/>
      <c r="K4" s="4"/>
      <c r="L4" s="4"/>
      <c r="M4" s="4"/>
      <c r="N4" s="4"/>
      <c r="O4" s="4"/>
      <c r="P4" s="5"/>
    </row>
    <row r="5" spans="1:16" x14ac:dyDescent="0.25">
      <c r="A5" s="174" t="s">
        <v>59</v>
      </c>
      <c r="B5" s="146"/>
      <c r="C5" s="146"/>
      <c r="D5" s="175"/>
      <c r="E5" s="162" t="s">
        <v>12</v>
      </c>
      <c r="F5" s="163"/>
      <c r="G5" s="153">
        <v>42832</v>
      </c>
      <c r="H5" s="153"/>
      <c r="J5" s="145" t="s">
        <v>62</v>
      </c>
      <c r="K5" s="145"/>
      <c r="L5" s="145" t="s">
        <v>61</v>
      </c>
      <c r="M5" s="145"/>
      <c r="N5" t="s">
        <v>39</v>
      </c>
      <c r="P5" s="124" t="s">
        <v>40</v>
      </c>
    </row>
    <row r="6" spans="1:16" x14ac:dyDescent="0.25">
      <c r="A6" s="174" t="s">
        <v>60</v>
      </c>
      <c r="B6" s="146"/>
      <c r="C6" s="146"/>
      <c r="D6" s="175"/>
      <c r="E6" s="162" t="s">
        <v>13</v>
      </c>
      <c r="F6" s="163"/>
      <c r="G6" s="153">
        <v>42832</v>
      </c>
      <c r="H6" s="153"/>
      <c r="L6" s="146" t="s">
        <v>79</v>
      </c>
      <c r="M6" s="146"/>
      <c r="P6" s="7"/>
    </row>
    <row r="7" spans="1:16" x14ac:dyDescent="0.25">
      <c r="A7" s="166" t="s">
        <v>83</v>
      </c>
      <c r="B7" s="167"/>
      <c r="C7" s="167"/>
      <c r="D7" s="168"/>
      <c r="E7" s="162" t="s">
        <v>14</v>
      </c>
      <c r="F7" s="163"/>
      <c r="G7" s="153"/>
      <c r="H7" s="153"/>
      <c r="L7" s="146" t="s">
        <v>80</v>
      </c>
      <c r="M7" s="146"/>
      <c r="P7" s="7"/>
    </row>
    <row r="8" spans="1:16" x14ac:dyDescent="0.25">
      <c r="A8" s="8"/>
      <c r="B8" s="9"/>
      <c r="C8" s="9"/>
      <c r="D8" s="10"/>
      <c r="E8" s="8"/>
      <c r="F8" s="9"/>
      <c r="G8" s="9"/>
      <c r="H8" s="9"/>
      <c r="I8" s="9"/>
      <c r="J8" s="9"/>
      <c r="K8" s="9"/>
      <c r="L8" s="9"/>
      <c r="M8" s="9"/>
      <c r="N8" s="9"/>
      <c r="O8" s="9"/>
      <c r="P8" s="10"/>
    </row>
    <row r="9" spans="1:16" x14ac:dyDescent="0.25">
      <c r="A9" s="11" t="s">
        <v>1</v>
      </c>
      <c r="B9" s="1" t="s">
        <v>3</v>
      </c>
      <c r="C9" s="122" t="s">
        <v>2</v>
      </c>
      <c r="D9" s="116" t="s">
        <v>26</v>
      </c>
      <c r="E9" s="116" t="s">
        <v>4</v>
      </c>
      <c r="F9" s="116" t="s">
        <v>5</v>
      </c>
      <c r="G9" s="122" t="s">
        <v>6</v>
      </c>
      <c r="H9" s="116" t="s">
        <v>7</v>
      </c>
      <c r="I9" s="116" t="s">
        <v>8</v>
      </c>
      <c r="J9" s="116" t="s">
        <v>114</v>
      </c>
      <c r="K9" s="116" t="s">
        <v>84</v>
      </c>
      <c r="L9" s="116" t="s">
        <v>9</v>
      </c>
      <c r="M9" s="116" t="s">
        <v>10</v>
      </c>
      <c r="N9" s="116" t="s">
        <v>78</v>
      </c>
      <c r="O9" s="116" t="s">
        <v>77</v>
      </c>
      <c r="P9" s="116" t="s">
        <v>11</v>
      </c>
    </row>
    <row r="10" spans="1:16" x14ac:dyDescent="0.25">
      <c r="A10" s="18" t="s">
        <v>27</v>
      </c>
      <c r="B10" s="87">
        <v>25</v>
      </c>
      <c r="C10" s="78" t="s">
        <v>25</v>
      </c>
      <c r="D10" s="126" t="s">
        <v>105</v>
      </c>
      <c r="E10" s="83">
        <v>2570.9349999999999</v>
      </c>
      <c r="F10" s="83">
        <v>2570.9349999999999</v>
      </c>
      <c r="G10" s="82">
        <f t="shared" ref="G10:G13" si="0">F10</f>
        <v>2570.9349999999999</v>
      </c>
      <c r="H10" s="115">
        <f t="shared" ref="H10:H17" si="1">71.99+6.43</f>
        <v>78.419999999999987</v>
      </c>
      <c r="I10" s="83">
        <v>205.67</v>
      </c>
      <c r="J10" s="82">
        <v>14</v>
      </c>
      <c r="K10" s="83">
        <f t="shared" ref="K10:K17" si="2">33+460</f>
        <v>493</v>
      </c>
      <c r="L10" s="82">
        <v>1793.84</v>
      </c>
      <c r="M10" s="82">
        <v>269.08</v>
      </c>
      <c r="N10" s="82">
        <v>50</v>
      </c>
      <c r="O10" s="83">
        <v>70</v>
      </c>
      <c r="P10" s="82">
        <v>2659</v>
      </c>
    </row>
    <row r="11" spans="1:16" x14ac:dyDescent="0.25">
      <c r="A11" s="19" t="s">
        <v>116</v>
      </c>
      <c r="B11" s="88">
        <v>25</v>
      </c>
      <c r="C11" s="76" t="s">
        <v>25</v>
      </c>
      <c r="D11" s="126" t="s">
        <v>105</v>
      </c>
      <c r="E11" s="83">
        <v>2570.9349999999999</v>
      </c>
      <c r="F11" s="83">
        <v>2570.9349999999999</v>
      </c>
      <c r="G11" s="83">
        <f t="shared" ref="G11" si="3">F11</f>
        <v>2570.9349999999999</v>
      </c>
      <c r="H11" s="115">
        <f t="shared" si="1"/>
        <v>78.419999999999987</v>
      </c>
      <c r="I11" s="83">
        <v>205.67</v>
      </c>
      <c r="J11" s="83">
        <v>14</v>
      </c>
      <c r="K11" s="83">
        <f t="shared" si="2"/>
        <v>493</v>
      </c>
      <c r="L11" s="83">
        <v>1793.84</v>
      </c>
      <c r="M11" s="83">
        <v>268.5</v>
      </c>
      <c r="N11" s="83">
        <v>50</v>
      </c>
      <c r="O11" s="83">
        <v>70</v>
      </c>
      <c r="P11" s="83">
        <v>2425.11</v>
      </c>
    </row>
    <row r="12" spans="1:16" x14ac:dyDescent="0.25">
      <c r="A12" s="19" t="s">
        <v>29</v>
      </c>
      <c r="B12" s="88">
        <v>25</v>
      </c>
      <c r="C12" s="76" t="s">
        <v>25</v>
      </c>
      <c r="D12" s="126" t="s">
        <v>105</v>
      </c>
      <c r="E12" s="83">
        <v>2570.9349999999999</v>
      </c>
      <c r="F12" s="83">
        <v>2570.9349999999999</v>
      </c>
      <c r="G12" s="83">
        <f t="shared" ref="G12" si="4">F12</f>
        <v>2570.9349999999999</v>
      </c>
      <c r="H12" s="115">
        <f t="shared" si="1"/>
        <v>78.419999999999987</v>
      </c>
      <c r="I12" s="83">
        <v>205.67</v>
      </c>
      <c r="J12" s="83">
        <v>14</v>
      </c>
      <c r="K12" s="83">
        <f t="shared" si="2"/>
        <v>493</v>
      </c>
      <c r="L12" s="83">
        <v>1793.84</v>
      </c>
      <c r="M12" s="83">
        <v>268.5</v>
      </c>
      <c r="N12" s="83">
        <v>50</v>
      </c>
      <c r="O12" s="83">
        <v>70</v>
      </c>
      <c r="P12" s="83">
        <v>2369.34</v>
      </c>
    </row>
    <row r="13" spans="1:16" x14ac:dyDescent="0.25">
      <c r="A13" s="19" t="s">
        <v>30</v>
      </c>
      <c r="B13" s="88">
        <v>25</v>
      </c>
      <c r="C13" s="76" t="s">
        <v>25</v>
      </c>
      <c r="D13" s="126" t="s">
        <v>105</v>
      </c>
      <c r="E13" s="83">
        <v>2570.9349999999999</v>
      </c>
      <c r="F13" s="83">
        <v>2570.9349999999999</v>
      </c>
      <c r="G13" s="83">
        <f t="shared" si="0"/>
        <v>2570.9349999999999</v>
      </c>
      <c r="H13" s="115">
        <f t="shared" si="1"/>
        <v>78.419999999999987</v>
      </c>
      <c r="I13" s="83">
        <v>205.67</v>
      </c>
      <c r="J13" s="83">
        <v>14</v>
      </c>
      <c r="K13" s="83">
        <f t="shared" si="2"/>
        <v>493</v>
      </c>
      <c r="L13" s="83">
        <v>1793.84</v>
      </c>
      <c r="M13" s="83">
        <v>268.5</v>
      </c>
      <c r="N13" s="83">
        <v>50</v>
      </c>
      <c r="O13" s="83">
        <v>70</v>
      </c>
      <c r="P13" s="83">
        <v>2209.34</v>
      </c>
    </row>
    <row r="14" spans="1:16" x14ac:dyDescent="0.25">
      <c r="A14" s="19" t="s">
        <v>31</v>
      </c>
      <c r="B14" s="88">
        <v>25</v>
      </c>
      <c r="C14" s="76" t="s">
        <v>25</v>
      </c>
      <c r="D14" s="126" t="s">
        <v>105</v>
      </c>
      <c r="E14" s="83">
        <v>2570.9349999999999</v>
      </c>
      <c r="F14" s="83">
        <v>2570.9349999999999</v>
      </c>
      <c r="G14" s="83">
        <f t="shared" ref="G14:G15" si="5">F14</f>
        <v>2570.9349999999999</v>
      </c>
      <c r="H14" s="115">
        <f t="shared" si="1"/>
        <v>78.419999999999987</v>
      </c>
      <c r="I14" s="83">
        <v>205.67</v>
      </c>
      <c r="J14" s="83">
        <v>14</v>
      </c>
      <c r="K14" s="83">
        <f t="shared" si="2"/>
        <v>493</v>
      </c>
      <c r="L14" s="83">
        <v>1793.84</v>
      </c>
      <c r="M14" s="83">
        <v>268.5</v>
      </c>
      <c r="N14" s="83">
        <v>50</v>
      </c>
      <c r="O14" s="83">
        <v>70</v>
      </c>
      <c r="P14" s="83">
        <v>3004.34</v>
      </c>
    </row>
    <row r="15" spans="1:16" x14ac:dyDescent="0.25">
      <c r="A15" s="19" t="s">
        <v>32</v>
      </c>
      <c r="B15" s="88">
        <v>25</v>
      </c>
      <c r="C15" s="76" t="s">
        <v>25</v>
      </c>
      <c r="D15" s="126" t="s">
        <v>105</v>
      </c>
      <c r="E15" s="83">
        <v>2570.9349999999999</v>
      </c>
      <c r="F15" s="83">
        <v>2570.9349999999999</v>
      </c>
      <c r="G15" s="83">
        <f t="shared" si="5"/>
        <v>2570.9349999999999</v>
      </c>
      <c r="H15" s="115">
        <f t="shared" si="1"/>
        <v>78.419999999999987</v>
      </c>
      <c r="I15" s="83">
        <v>205.67</v>
      </c>
      <c r="J15" s="83">
        <v>14</v>
      </c>
      <c r="K15" s="83">
        <f t="shared" si="2"/>
        <v>493</v>
      </c>
      <c r="L15" s="83">
        <v>1793.84</v>
      </c>
      <c r="M15" s="83">
        <v>268.5</v>
      </c>
      <c r="N15" s="83">
        <v>50</v>
      </c>
      <c r="O15" s="83">
        <v>70</v>
      </c>
      <c r="P15" s="83">
        <v>2509.34</v>
      </c>
    </row>
    <row r="16" spans="1:16" x14ac:dyDescent="0.25">
      <c r="A16" s="19" t="s">
        <v>33</v>
      </c>
      <c r="B16" s="88">
        <v>25</v>
      </c>
      <c r="C16" s="76" t="s">
        <v>25</v>
      </c>
      <c r="D16" s="126" t="s">
        <v>105</v>
      </c>
      <c r="E16" s="83">
        <v>2570.9349999999999</v>
      </c>
      <c r="F16" s="83">
        <v>2570.9349999999999</v>
      </c>
      <c r="G16" s="83">
        <f t="shared" ref="G16" si="6">F16</f>
        <v>2570.9349999999999</v>
      </c>
      <c r="H16" s="115">
        <f t="shared" si="1"/>
        <v>78.419999999999987</v>
      </c>
      <c r="I16" s="83">
        <v>205.67</v>
      </c>
      <c r="J16" s="83">
        <v>14</v>
      </c>
      <c r="K16" s="83">
        <f t="shared" si="2"/>
        <v>493</v>
      </c>
      <c r="L16" s="83">
        <v>1793.84</v>
      </c>
      <c r="M16" s="83">
        <v>268.5</v>
      </c>
      <c r="N16" s="83">
        <v>50</v>
      </c>
      <c r="O16" s="83">
        <v>70</v>
      </c>
      <c r="P16" s="83">
        <v>2880.34</v>
      </c>
    </row>
    <row r="17" spans="1:17" x14ac:dyDescent="0.25">
      <c r="A17" s="19" t="s">
        <v>34</v>
      </c>
      <c r="B17" s="88">
        <v>25</v>
      </c>
      <c r="C17" s="76" t="s">
        <v>25</v>
      </c>
      <c r="D17" s="126" t="s">
        <v>105</v>
      </c>
      <c r="E17" s="83">
        <v>2570.9349999999999</v>
      </c>
      <c r="F17" s="83">
        <v>2570.9349999999999</v>
      </c>
      <c r="G17" s="83">
        <f t="shared" ref="G17" si="7">F17</f>
        <v>2570.9349999999999</v>
      </c>
      <c r="H17" s="115">
        <f t="shared" si="1"/>
        <v>78.419999999999987</v>
      </c>
      <c r="I17" s="83">
        <v>205.67</v>
      </c>
      <c r="J17" s="83">
        <v>14</v>
      </c>
      <c r="K17" s="83">
        <f t="shared" si="2"/>
        <v>493</v>
      </c>
      <c r="L17" s="83">
        <v>1793.84</v>
      </c>
      <c r="M17" s="83">
        <v>268.5</v>
      </c>
      <c r="N17" s="83">
        <v>50</v>
      </c>
      <c r="O17" s="83">
        <v>70</v>
      </c>
      <c r="P17" s="83">
        <v>2569.34</v>
      </c>
    </row>
    <row r="18" spans="1:17" x14ac:dyDescent="0.25">
      <c r="A18" s="19" t="s">
        <v>35</v>
      </c>
      <c r="B18" s="88">
        <v>25</v>
      </c>
      <c r="C18" s="76" t="s">
        <v>25</v>
      </c>
      <c r="D18" s="126" t="s">
        <v>105</v>
      </c>
      <c r="E18" s="83">
        <v>2570.94</v>
      </c>
      <c r="F18" s="83">
        <v>2570.94</v>
      </c>
      <c r="G18" s="83">
        <f t="shared" ref="G18" si="8">F18</f>
        <v>2570.94</v>
      </c>
      <c r="H18" s="115">
        <f>71.99+6.43</f>
        <v>78.419999999999987</v>
      </c>
      <c r="I18" s="83">
        <v>205.67</v>
      </c>
      <c r="J18" s="83">
        <v>14</v>
      </c>
      <c r="K18" s="83">
        <f t="shared" ref="K18:K21" si="9">33+460</f>
        <v>493</v>
      </c>
      <c r="L18" s="83">
        <v>1793.84</v>
      </c>
      <c r="M18" s="83">
        <v>268.5</v>
      </c>
      <c r="N18" s="83">
        <v>50</v>
      </c>
      <c r="O18" s="83">
        <v>70</v>
      </c>
      <c r="P18" s="83">
        <v>2669.34</v>
      </c>
      <c r="Q18" s="20"/>
    </row>
    <row r="19" spans="1:17" x14ac:dyDescent="0.25">
      <c r="A19" s="19" t="s">
        <v>36</v>
      </c>
      <c r="B19" s="88">
        <v>25</v>
      </c>
      <c r="C19" s="76" t="s">
        <v>25</v>
      </c>
      <c r="D19" s="126" t="s">
        <v>105</v>
      </c>
      <c r="E19" s="83">
        <v>2570.9299999999998</v>
      </c>
      <c r="F19" s="83">
        <v>2570.9299999999998</v>
      </c>
      <c r="G19" s="83">
        <f t="shared" ref="G19:G20" si="10">F19</f>
        <v>2570.9299999999998</v>
      </c>
      <c r="H19" s="115">
        <f>71.99+6.43</f>
        <v>78.419999999999987</v>
      </c>
      <c r="I19" s="83">
        <v>205.67</v>
      </c>
      <c r="J19" s="83">
        <v>14</v>
      </c>
      <c r="K19" s="83">
        <f t="shared" si="9"/>
        <v>493</v>
      </c>
      <c r="L19" s="83">
        <v>1793.84</v>
      </c>
      <c r="M19" s="83">
        <v>268.5</v>
      </c>
      <c r="N19" s="83">
        <v>50</v>
      </c>
      <c r="O19" s="83">
        <v>70</v>
      </c>
      <c r="P19" s="83">
        <v>2529.34</v>
      </c>
      <c r="Q19" s="20"/>
    </row>
    <row r="20" spans="1:17" x14ac:dyDescent="0.25">
      <c r="A20" s="19" t="s">
        <v>37</v>
      </c>
      <c r="B20" s="88">
        <v>25</v>
      </c>
      <c r="C20" s="76" t="s">
        <v>25</v>
      </c>
      <c r="D20" s="76">
        <v>2</v>
      </c>
      <c r="E20" s="83">
        <v>2570.9299999999998</v>
      </c>
      <c r="F20" s="83">
        <v>2570.9299999999998</v>
      </c>
      <c r="G20" s="83">
        <f t="shared" si="10"/>
        <v>2570.9299999999998</v>
      </c>
      <c r="H20" s="115">
        <f>71.99+6.43</f>
        <v>78.419999999999987</v>
      </c>
      <c r="I20" s="83">
        <v>205.67</v>
      </c>
      <c r="J20" s="83">
        <v>14</v>
      </c>
      <c r="K20" s="83">
        <v>33</v>
      </c>
      <c r="L20" s="83">
        <v>2253.84</v>
      </c>
      <c r="M20" s="83">
        <v>7.8</v>
      </c>
      <c r="N20" s="83">
        <v>50</v>
      </c>
      <c r="O20" s="83">
        <v>70</v>
      </c>
      <c r="P20" s="83">
        <v>2675.04</v>
      </c>
    </row>
    <row r="21" spans="1:17" ht="15.75" thickBot="1" x14ac:dyDescent="0.3">
      <c r="A21" s="19" t="s">
        <v>38</v>
      </c>
      <c r="B21" s="88">
        <v>25</v>
      </c>
      <c r="C21" s="76" t="s">
        <v>25</v>
      </c>
      <c r="D21" s="76">
        <v>2</v>
      </c>
      <c r="E21" s="83">
        <v>2570.94</v>
      </c>
      <c r="F21" s="83">
        <v>2570.94</v>
      </c>
      <c r="G21" s="83">
        <f t="shared" ref="G21" si="11">F21</f>
        <v>2570.94</v>
      </c>
      <c r="H21" s="115">
        <f>71.99+6.43</f>
        <v>78.419999999999987</v>
      </c>
      <c r="I21" s="83">
        <v>205.67</v>
      </c>
      <c r="J21" s="83">
        <v>14</v>
      </c>
      <c r="K21" s="83">
        <v>33</v>
      </c>
      <c r="L21" s="83">
        <v>2253.84</v>
      </c>
      <c r="M21" s="83">
        <v>7.8</v>
      </c>
      <c r="N21" s="83">
        <v>50</v>
      </c>
      <c r="O21" s="83">
        <v>70</v>
      </c>
      <c r="P21" s="83">
        <v>3055.54</v>
      </c>
    </row>
    <row r="22" spans="1:17" ht="15.75" thickBot="1" x14ac:dyDescent="0.3">
      <c r="A22" s="12"/>
      <c r="B22" s="13"/>
      <c r="C22" s="123"/>
      <c r="D22" s="123"/>
      <c r="E22" s="84">
        <f t="shared" ref="E22:P22" si="12">SUM(E10:E21)</f>
        <v>30851.219999999998</v>
      </c>
      <c r="F22" s="84">
        <f t="shared" si="12"/>
        <v>30851.219999999998</v>
      </c>
      <c r="G22" s="84">
        <f t="shared" si="12"/>
        <v>30851.219999999998</v>
      </c>
      <c r="H22" s="84">
        <f t="shared" si="12"/>
        <v>941.03999999999962</v>
      </c>
      <c r="I22" s="84">
        <f t="shared" si="12"/>
        <v>2468.0400000000004</v>
      </c>
      <c r="J22" s="84">
        <f t="shared" si="12"/>
        <v>168</v>
      </c>
      <c r="K22" s="84">
        <f t="shared" si="12"/>
        <v>4996</v>
      </c>
      <c r="L22" s="84">
        <f t="shared" si="12"/>
        <v>22446.079999999998</v>
      </c>
      <c r="M22" s="84">
        <f t="shared" si="12"/>
        <v>2701.1800000000003</v>
      </c>
      <c r="N22" s="84">
        <f t="shared" si="12"/>
        <v>600</v>
      </c>
      <c r="O22" s="84">
        <f t="shared" si="12"/>
        <v>840</v>
      </c>
      <c r="P22" s="85">
        <f t="shared" si="12"/>
        <v>31555.410000000003</v>
      </c>
    </row>
    <row r="23" spans="1:17" x14ac:dyDescent="0.25">
      <c r="M23" s="20"/>
    </row>
    <row r="24" spans="1:17" x14ac:dyDescent="0.25">
      <c r="M24" s="20"/>
    </row>
    <row r="25" spans="1:17" ht="25.5" customHeight="1" x14ac:dyDescent="0.25">
      <c r="A25" s="154" t="s">
        <v>16</v>
      </c>
      <c r="B25" s="154" t="s">
        <v>17</v>
      </c>
      <c r="C25" s="154" t="s">
        <v>18</v>
      </c>
      <c r="D25" s="154" t="s">
        <v>19</v>
      </c>
      <c r="E25" s="154" t="s">
        <v>20</v>
      </c>
      <c r="F25" s="164" t="s">
        <v>85</v>
      </c>
      <c r="G25" s="154" t="s">
        <v>7</v>
      </c>
      <c r="H25" s="155" t="s">
        <v>22</v>
      </c>
      <c r="I25" s="156"/>
      <c r="J25" s="156"/>
      <c r="K25" s="157"/>
    </row>
    <row r="26" spans="1:17" ht="25.5" customHeight="1" x14ac:dyDescent="0.25">
      <c r="A26" s="154"/>
      <c r="B26" s="154"/>
      <c r="C26" s="154"/>
      <c r="D26" s="154"/>
      <c r="E26" s="154"/>
      <c r="F26" s="165"/>
      <c r="G26" s="154"/>
      <c r="H26" s="158" t="s">
        <v>9</v>
      </c>
      <c r="I26" s="159"/>
      <c r="J26" s="122" t="s">
        <v>23</v>
      </c>
      <c r="K26" s="80" t="s">
        <v>24</v>
      </c>
    </row>
    <row r="27" spans="1:17" x14ac:dyDescent="0.25">
      <c r="A27" s="1" t="s">
        <v>69</v>
      </c>
      <c r="B27" s="80">
        <v>173</v>
      </c>
      <c r="C27" s="79"/>
      <c r="D27" s="80">
        <v>16</v>
      </c>
      <c r="E27" s="80">
        <v>8</v>
      </c>
      <c r="F27" s="80"/>
      <c r="G27" s="78"/>
      <c r="H27" s="160">
        <f t="shared" ref="H27:H38" si="13">L10</f>
        <v>1793.84</v>
      </c>
      <c r="I27" s="161"/>
      <c r="J27" s="104">
        <f t="shared" ref="J27:J38" si="14">M10</f>
        <v>269.08</v>
      </c>
      <c r="K27" s="82">
        <f t="shared" ref="K27:K38" si="15">P10</f>
        <v>2659</v>
      </c>
    </row>
    <row r="28" spans="1:17" x14ac:dyDescent="0.25">
      <c r="A28" s="2" t="s">
        <v>70</v>
      </c>
      <c r="B28" s="81">
        <v>173</v>
      </c>
      <c r="C28" s="77"/>
      <c r="D28" s="81">
        <v>24</v>
      </c>
      <c r="E28" s="81"/>
      <c r="F28" s="81"/>
      <c r="G28" s="76">
        <v>16</v>
      </c>
      <c r="H28" s="149">
        <f t="shared" si="13"/>
        <v>1793.84</v>
      </c>
      <c r="I28" s="150"/>
      <c r="J28" s="102">
        <f t="shared" si="14"/>
        <v>268.5</v>
      </c>
      <c r="K28" s="83">
        <f t="shared" si="15"/>
        <v>2425.11</v>
      </c>
    </row>
    <row r="29" spans="1:17" x14ac:dyDescent="0.25">
      <c r="A29" s="2" t="s">
        <v>71</v>
      </c>
      <c r="B29" s="81">
        <v>173</v>
      </c>
      <c r="C29" s="77"/>
      <c r="D29" s="81"/>
      <c r="E29" s="81"/>
      <c r="F29" s="81"/>
      <c r="G29" s="76"/>
      <c r="H29" s="149">
        <f t="shared" si="13"/>
        <v>1793.84</v>
      </c>
      <c r="I29" s="150"/>
      <c r="J29" s="102">
        <f t="shared" si="14"/>
        <v>268.5</v>
      </c>
      <c r="K29" s="83">
        <f t="shared" si="15"/>
        <v>2369.34</v>
      </c>
    </row>
    <row r="30" spans="1:17" x14ac:dyDescent="0.25">
      <c r="A30" s="2" t="s">
        <v>72</v>
      </c>
      <c r="B30" s="81">
        <v>173</v>
      </c>
      <c r="C30" s="77"/>
      <c r="D30" s="81">
        <v>40</v>
      </c>
      <c r="E30" s="81">
        <v>8</v>
      </c>
      <c r="F30" s="81"/>
      <c r="G30" s="76"/>
      <c r="H30" s="149">
        <f t="shared" si="13"/>
        <v>1793.84</v>
      </c>
      <c r="I30" s="150"/>
      <c r="J30" s="102">
        <f t="shared" si="14"/>
        <v>268.5</v>
      </c>
      <c r="K30" s="83">
        <f t="shared" si="15"/>
        <v>2209.34</v>
      </c>
    </row>
    <row r="31" spans="1:17" x14ac:dyDescent="0.25">
      <c r="A31" s="2" t="s">
        <v>71</v>
      </c>
      <c r="B31" s="81">
        <v>173</v>
      </c>
      <c r="C31" s="77"/>
      <c r="D31" s="81">
        <v>12</v>
      </c>
      <c r="E31" s="81">
        <v>24</v>
      </c>
      <c r="F31" s="81"/>
      <c r="G31" s="76"/>
      <c r="H31" s="149">
        <f t="shared" si="13"/>
        <v>1793.84</v>
      </c>
      <c r="I31" s="150"/>
      <c r="J31" s="102">
        <f t="shared" si="14"/>
        <v>268.5</v>
      </c>
      <c r="K31" s="83">
        <f t="shared" si="15"/>
        <v>3004.34</v>
      </c>
    </row>
    <row r="32" spans="1:17" x14ac:dyDescent="0.25">
      <c r="A32" s="6" t="s">
        <v>69</v>
      </c>
      <c r="B32" s="81">
        <v>173</v>
      </c>
      <c r="C32" s="77"/>
      <c r="D32" s="81">
        <v>16</v>
      </c>
      <c r="E32" s="81">
        <v>16</v>
      </c>
      <c r="F32" s="81"/>
      <c r="G32" s="76">
        <v>8</v>
      </c>
      <c r="H32" s="149">
        <f t="shared" si="13"/>
        <v>1793.84</v>
      </c>
      <c r="I32" s="150"/>
      <c r="J32" s="102">
        <f t="shared" si="14"/>
        <v>268.5</v>
      </c>
      <c r="K32" s="83">
        <f t="shared" si="15"/>
        <v>2509.34</v>
      </c>
    </row>
    <row r="33" spans="1:11" x14ac:dyDescent="0.25">
      <c r="A33" s="6" t="s">
        <v>69</v>
      </c>
      <c r="B33" s="81">
        <v>173</v>
      </c>
      <c r="C33" s="77"/>
      <c r="D33" s="81"/>
      <c r="E33" s="81"/>
      <c r="F33" s="81"/>
      <c r="G33" s="76"/>
      <c r="H33" s="149">
        <f t="shared" si="13"/>
        <v>1793.84</v>
      </c>
      <c r="I33" s="150"/>
      <c r="J33" s="102">
        <f t="shared" si="14"/>
        <v>268.5</v>
      </c>
      <c r="K33" s="83">
        <f t="shared" si="15"/>
        <v>2880.34</v>
      </c>
    </row>
    <row r="34" spans="1:11" x14ac:dyDescent="0.25">
      <c r="A34" s="6" t="s">
        <v>72</v>
      </c>
      <c r="B34" s="81">
        <v>173</v>
      </c>
      <c r="C34" s="77"/>
      <c r="D34" s="81">
        <v>80</v>
      </c>
      <c r="E34" s="81">
        <v>8</v>
      </c>
      <c r="F34" s="81"/>
      <c r="G34" s="76"/>
      <c r="H34" s="149">
        <f t="shared" si="13"/>
        <v>1793.84</v>
      </c>
      <c r="I34" s="150"/>
      <c r="J34" s="102">
        <f t="shared" si="14"/>
        <v>268.5</v>
      </c>
      <c r="K34" s="83">
        <f t="shared" si="15"/>
        <v>2569.34</v>
      </c>
    </row>
    <row r="35" spans="1:11" x14ac:dyDescent="0.25">
      <c r="A35" s="6" t="s">
        <v>73</v>
      </c>
      <c r="B35" s="81">
        <v>173</v>
      </c>
      <c r="C35" s="77"/>
      <c r="D35" s="81">
        <v>8</v>
      </c>
      <c r="E35" s="81"/>
      <c r="F35" s="81"/>
      <c r="G35" s="76"/>
      <c r="H35" s="149">
        <f t="shared" si="13"/>
        <v>1793.84</v>
      </c>
      <c r="I35" s="150"/>
      <c r="J35" s="102">
        <f t="shared" si="14"/>
        <v>268.5</v>
      </c>
      <c r="K35" s="83">
        <f t="shared" si="15"/>
        <v>2669.34</v>
      </c>
    </row>
    <row r="36" spans="1:11" x14ac:dyDescent="0.25">
      <c r="A36" s="6" t="s">
        <v>74</v>
      </c>
      <c r="B36" s="81">
        <v>173</v>
      </c>
      <c r="C36" s="77"/>
      <c r="D36" s="81">
        <v>36</v>
      </c>
      <c r="E36" s="81"/>
      <c r="F36" s="81"/>
      <c r="G36" s="76"/>
      <c r="H36" s="149">
        <f t="shared" si="13"/>
        <v>1793.84</v>
      </c>
      <c r="I36" s="150"/>
      <c r="J36" s="102">
        <f t="shared" si="14"/>
        <v>268.5</v>
      </c>
      <c r="K36" s="83">
        <f t="shared" si="15"/>
        <v>2529.34</v>
      </c>
    </row>
    <row r="37" spans="1:11" x14ac:dyDescent="0.25">
      <c r="A37" s="6" t="s">
        <v>75</v>
      </c>
      <c r="B37" s="81">
        <v>173</v>
      </c>
      <c r="C37" s="77"/>
      <c r="D37" s="81"/>
      <c r="E37" s="81">
        <v>8</v>
      </c>
      <c r="F37" s="81"/>
      <c r="G37" s="76"/>
      <c r="H37" s="149">
        <f t="shared" si="13"/>
        <v>2253.84</v>
      </c>
      <c r="I37" s="150"/>
      <c r="J37" s="102">
        <f t="shared" si="14"/>
        <v>7.8</v>
      </c>
      <c r="K37" s="83">
        <f t="shared" si="15"/>
        <v>2675.04</v>
      </c>
    </row>
    <row r="38" spans="1:11" ht="15.75" thickBot="1" x14ac:dyDescent="0.3">
      <c r="A38" s="6" t="s">
        <v>76</v>
      </c>
      <c r="B38" s="81">
        <v>173</v>
      </c>
      <c r="C38" s="77"/>
      <c r="D38" s="81">
        <v>44</v>
      </c>
      <c r="E38" s="81">
        <v>16</v>
      </c>
      <c r="F38" s="81"/>
      <c r="G38" s="76"/>
      <c r="H38" s="149">
        <f t="shared" si="13"/>
        <v>2253.84</v>
      </c>
      <c r="I38" s="150"/>
      <c r="J38" s="102">
        <f t="shared" si="14"/>
        <v>7.8</v>
      </c>
      <c r="K38" s="83">
        <f t="shared" si="15"/>
        <v>3055.54</v>
      </c>
    </row>
    <row r="39" spans="1:11" ht="15.75" thickBot="1" x14ac:dyDescent="0.3">
      <c r="A39" s="72"/>
      <c r="B39" s="86">
        <f>SUM(B27:B38)</f>
        <v>2076</v>
      </c>
      <c r="C39" s="86">
        <f t="shared" ref="C39:G39" si="16">SUM(C27:C38)</f>
        <v>0</v>
      </c>
      <c r="D39" s="86">
        <f t="shared" si="16"/>
        <v>276</v>
      </c>
      <c r="E39" s="86">
        <f t="shared" si="16"/>
        <v>88</v>
      </c>
      <c r="F39" s="86">
        <f t="shared" si="16"/>
        <v>0</v>
      </c>
      <c r="G39" s="86">
        <f t="shared" si="16"/>
        <v>24</v>
      </c>
      <c r="H39" s="151">
        <f t="shared" ref="H39" si="17">SUM(H27:H38)</f>
        <v>22446.079999999998</v>
      </c>
      <c r="I39" s="152"/>
      <c r="J39" s="84">
        <f>SUM(J27:J38)</f>
        <v>2701.1800000000003</v>
      </c>
      <c r="K39" s="85">
        <f>SUM(K27:K38)</f>
        <v>31555.410000000003</v>
      </c>
    </row>
  </sheetData>
  <mergeCells count="40">
    <mergeCell ref="B2:B3"/>
    <mergeCell ref="D2:D3"/>
    <mergeCell ref="F2:I3"/>
    <mergeCell ref="E5:F5"/>
    <mergeCell ref="E6:F6"/>
    <mergeCell ref="A4:D4"/>
    <mergeCell ref="A5:D5"/>
    <mergeCell ref="A6:D6"/>
    <mergeCell ref="H28:I28"/>
    <mergeCell ref="H29:I29"/>
    <mergeCell ref="E7:F7"/>
    <mergeCell ref="A25:A26"/>
    <mergeCell ref="B25:B26"/>
    <mergeCell ref="C25:C26"/>
    <mergeCell ref="D25:D26"/>
    <mergeCell ref="E25:E26"/>
    <mergeCell ref="F25:F26"/>
    <mergeCell ref="G7:H7"/>
    <mergeCell ref="A7:D7"/>
    <mergeCell ref="H36:I36"/>
    <mergeCell ref="H37:I37"/>
    <mergeCell ref="H38:I38"/>
    <mergeCell ref="H39:I39"/>
    <mergeCell ref="G5:H5"/>
    <mergeCell ref="G6:H6"/>
    <mergeCell ref="H30:I30"/>
    <mergeCell ref="H31:I31"/>
    <mergeCell ref="H32:I32"/>
    <mergeCell ref="H33:I33"/>
    <mergeCell ref="H34:I34"/>
    <mergeCell ref="H35:I35"/>
    <mergeCell ref="G25:G26"/>
    <mergeCell ref="H25:K25"/>
    <mergeCell ref="H26:I26"/>
    <mergeCell ref="H27:I27"/>
    <mergeCell ref="L5:M5"/>
    <mergeCell ref="L6:M6"/>
    <mergeCell ref="L7:M7"/>
    <mergeCell ref="J5:K5"/>
    <mergeCell ref="L2:N3"/>
  </mergeCells>
  <phoneticPr fontId="18" type="noConversion"/>
  <pageMargins left="0" right="0" top="0.74803149606299213" bottom="0" header="0.31496062992125984" footer="0"/>
  <pageSetup paperSize="9" scale="80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B4A8DC-7D2B-4FAC-8E6A-288FE9DACAFD}">
  <dimension ref="A2:Q39"/>
  <sheetViews>
    <sheetView workbookViewId="0">
      <selection activeCell="A9" sqref="A9:XFD9"/>
    </sheetView>
  </sheetViews>
  <sheetFormatPr defaultColWidth="11.42578125" defaultRowHeight="15" x14ac:dyDescent="0.25"/>
  <cols>
    <col min="1" max="1" width="11.140625" customWidth="1"/>
    <col min="2" max="2" width="12" customWidth="1"/>
    <col min="3" max="16" width="15.140625" customWidth="1"/>
  </cols>
  <sheetData>
    <row r="2" spans="1:16" x14ac:dyDescent="0.25">
      <c r="A2" s="3"/>
      <c r="B2" s="169" t="s">
        <v>0</v>
      </c>
      <c r="C2" s="14"/>
      <c r="D2" s="147">
        <v>2024</v>
      </c>
      <c r="E2" s="14"/>
      <c r="F2" s="169" t="s">
        <v>15</v>
      </c>
      <c r="G2" s="169"/>
      <c r="H2" s="169"/>
      <c r="I2" s="169"/>
      <c r="J2" s="14"/>
      <c r="K2" s="14"/>
      <c r="L2" s="147" t="s">
        <v>89</v>
      </c>
      <c r="M2" s="147"/>
      <c r="N2" s="147"/>
      <c r="O2" s="14"/>
      <c r="P2" s="15"/>
    </row>
    <row r="3" spans="1:16" x14ac:dyDescent="0.25">
      <c r="A3" s="8"/>
      <c r="B3" s="170"/>
      <c r="C3" s="16"/>
      <c r="D3" s="148"/>
      <c r="E3" s="16"/>
      <c r="F3" s="170"/>
      <c r="G3" s="170"/>
      <c r="H3" s="170"/>
      <c r="I3" s="170"/>
      <c r="J3" s="16"/>
      <c r="K3" s="16"/>
      <c r="L3" s="148"/>
      <c r="M3" s="148"/>
      <c r="N3" s="148"/>
      <c r="O3" s="16"/>
      <c r="P3" s="17"/>
    </row>
    <row r="4" spans="1:16" x14ac:dyDescent="0.25">
      <c r="A4" s="171" t="s">
        <v>58</v>
      </c>
      <c r="B4" s="172"/>
      <c r="C4" s="172"/>
      <c r="D4" s="173"/>
      <c r="E4" s="3"/>
      <c r="F4" s="4"/>
      <c r="G4" s="4"/>
      <c r="H4" s="4"/>
      <c r="I4" s="4"/>
      <c r="J4" s="4"/>
      <c r="K4" s="4"/>
      <c r="L4" s="4"/>
      <c r="M4" s="4"/>
      <c r="N4" s="4"/>
      <c r="O4" s="4"/>
      <c r="P4" s="5"/>
    </row>
    <row r="5" spans="1:16" x14ac:dyDescent="0.25">
      <c r="A5" s="174" t="s">
        <v>59</v>
      </c>
      <c r="B5" s="146"/>
      <c r="C5" s="146"/>
      <c r="D5" s="175"/>
      <c r="E5" s="162" t="s">
        <v>12</v>
      </c>
      <c r="F5" s="163"/>
      <c r="G5" s="153">
        <f>G6</f>
        <v>44455</v>
      </c>
      <c r="H5" s="153"/>
      <c r="J5" s="145" t="s">
        <v>106</v>
      </c>
      <c r="K5" s="145"/>
      <c r="L5" s="145" t="s">
        <v>90</v>
      </c>
      <c r="M5" s="145"/>
      <c r="N5" s="145"/>
      <c r="O5" t="s">
        <v>39</v>
      </c>
      <c r="P5" s="124" t="s">
        <v>63</v>
      </c>
    </row>
    <row r="6" spans="1:16" x14ac:dyDescent="0.25">
      <c r="A6" s="174" t="s">
        <v>60</v>
      </c>
      <c r="B6" s="146"/>
      <c r="C6" s="146"/>
      <c r="D6" s="175"/>
      <c r="E6" s="162" t="s">
        <v>13</v>
      </c>
      <c r="F6" s="163"/>
      <c r="G6" s="153">
        <v>44455</v>
      </c>
      <c r="H6" s="153"/>
      <c r="L6" s="146" t="s">
        <v>91</v>
      </c>
      <c r="M6" s="146"/>
      <c r="N6" s="146"/>
      <c r="P6" s="7"/>
    </row>
    <row r="7" spans="1:16" x14ac:dyDescent="0.25">
      <c r="A7" s="166" t="s">
        <v>83</v>
      </c>
      <c r="B7" s="167"/>
      <c r="C7" s="167"/>
      <c r="D7" s="168"/>
      <c r="E7" s="162" t="s">
        <v>14</v>
      </c>
      <c r="F7" s="163"/>
      <c r="G7" s="176"/>
      <c r="H7" s="176"/>
      <c r="L7" s="146" t="s">
        <v>92</v>
      </c>
      <c r="M7" s="146"/>
      <c r="N7" s="146"/>
      <c r="P7" s="7"/>
    </row>
    <row r="8" spans="1:16" x14ac:dyDescent="0.25">
      <c r="A8" s="8"/>
      <c r="B8" s="9"/>
      <c r="C8" s="9"/>
      <c r="D8" s="10"/>
      <c r="E8" s="8"/>
      <c r="F8" s="9"/>
      <c r="G8" s="9"/>
      <c r="H8" s="9"/>
      <c r="I8" s="9"/>
      <c r="J8" s="9"/>
      <c r="K8" s="9"/>
      <c r="L8" s="9"/>
      <c r="M8" s="9"/>
      <c r="N8" s="9"/>
      <c r="O8" s="9"/>
      <c r="P8" s="10"/>
    </row>
    <row r="9" spans="1:16" x14ac:dyDescent="0.25">
      <c r="A9" s="11" t="s">
        <v>1</v>
      </c>
      <c r="B9" s="1" t="s">
        <v>3</v>
      </c>
      <c r="C9" s="122" t="s">
        <v>2</v>
      </c>
      <c r="D9" s="116" t="s">
        <v>26</v>
      </c>
      <c r="E9" s="116" t="s">
        <v>4</v>
      </c>
      <c r="F9" s="116" t="s">
        <v>5</v>
      </c>
      <c r="G9" s="122" t="s">
        <v>6</v>
      </c>
      <c r="H9" s="116" t="s">
        <v>7</v>
      </c>
      <c r="I9" s="116" t="s">
        <v>8</v>
      </c>
      <c r="J9" s="116" t="s">
        <v>114</v>
      </c>
      <c r="K9" s="116" t="s">
        <v>84</v>
      </c>
      <c r="L9" s="116" t="s">
        <v>9</v>
      </c>
      <c r="M9" s="116" t="s">
        <v>10</v>
      </c>
      <c r="N9" s="116" t="s">
        <v>78</v>
      </c>
      <c r="O9" s="116" t="s">
        <v>77</v>
      </c>
      <c r="P9" s="116" t="s">
        <v>11</v>
      </c>
    </row>
    <row r="10" spans="1:16" x14ac:dyDescent="0.25">
      <c r="A10" s="18" t="s">
        <v>27</v>
      </c>
      <c r="B10" s="87">
        <v>25</v>
      </c>
      <c r="C10" s="78" t="s">
        <v>25</v>
      </c>
      <c r="D10" s="78">
        <v>1</v>
      </c>
      <c r="E10" s="83">
        <v>2570.9299999999998</v>
      </c>
      <c r="F10" s="83">
        <v>2570.9299999999998</v>
      </c>
      <c r="G10" s="82">
        <f t="shared" ref="G10:G19" si="0">F10</f>
        <v>2570.9299999999998</v>
      </c>
      <c r="H10" s="115">
        <f t="shared" ref="H10:H17" si="1">71.99+6.43</f>
        <v>78.419999999999987</v>
      </c>
      <c r="I10" s="83">
        <v>205.67</v>
      </c>
      <c r="J10" s="82">
        <v>14</v>
      </c>
      <c r="K10" s="82">
        <v>0</v>
      </c>
      <c r="L10" s="82">
        <v>2286.84</v>
      </c>
      <c r="M10" s="82">
        <v>149.30000000000001</v>
      </c>
      <c r="N10" s="82">
        <v>50</v>
      </c>
      <c r="O10" s="82">
        <v>70</v>
      </c>
      <c r="P10" s="82">
        <v>1244.54</v>
      </c>
    </row>
    <row r="11" spans="1:16" x14ac:dyDescent="0.25">
      <c r="A11" s="19" t="s">
        <v>116</v>
      </c>
      <c r="B11" s="88">
        <v>25</v>
      </c>
      <c r="C11" s="76" t="s">
        <v>25</v>
      </c>
      <c r="D11" s="76">
        <v>1</v>
      </c>
      <c r="E11" s="83">
        <v>2570.9299999999998</v>
      </c>
      <c r="F11" s="83">
        <v>2570.9299999999998</v>
      </c>
      <c r="G11" s="83">
        <f t="shared" si="0"/>
        <v>2570.9299999999998</v>
      </c>
      <c r="H11" s="115">
        <f t="shared" si="1"/>
        <v>78.419999999999987</v>
      </c>
      <c r="I11" s="83">
        <v>205.67</v>
      </c>
      <c r="J11" s="83">
        <v>14</v>
      </c>
      <c r="K11" s="83">
        <v>0</v>
      </c>
      <c r="L11" s="83">
        <v>2286.84</v>
      </c>
      <c r="M11" s="83">
        <v>139.9</v>
      </c>
      <c r="N11" s="83">
        <v>50</v>
      </c>
      <c r="O11" s="83">
        <v>70</v>
      </c>
      <c r="P11" s="83">
        <v>1259.94</v>
      </c>
    </row>
    <row r="12" spans="1:16" x14ac:dyDescent="0.25">
      <c r="A12" s="19" t="s">
        <v>29</v>
      </c>
      <c r="B12" s="88">
        <v>25</v>
      </c>
      <c r="C12" s="76" t="s">
        <v>25</v>
      </c>
      <c r="D12" s="76">
        <v>1</v>
      </c>
      <c r="E12" s="83">
        <v>2570.9299999999998</v>
      </c>
      <c r="F12" s="83">
        <v>2570.9299999999998</v>
      </c>
      <c r="G12" s="83">
        <f t="shared" si="0"/>
        <v>2570.9299999999998</v>
      </c>
      <c r="H12" s="115">
        <f t="shared" si="1"/>
        <v>78.419999999999987</v>
      </c>
      <c r="I12" s="83">
        <v>205.67</v>
      </c>
      <c r="J12" s="83">
        <v>14</v>
      </c>
      <c r="K12" s="83">
        <v>0</v>
      </c>
      <c r="L12" s="83">
        <v>2286.84</v>
      </c>
      <c r="M12" s="83">
        <v>139.9</v>
      </c>
      <c r="N12" s="83">
        <v>50</v>
      </c>
      <c r="O12" s="83">
        <v>70</v>
      </c>
      <c r="P12" s="83">
        <v>1253.94</v>
      </c>
    </row>
    <row r="13" spans="1:16" x14ac:dyDescent="0.25">
      <c r="A13" s="19" t="s">
        <v>30</v>
      </c>
      <c r="B13" s="88">
        <v>25</v>
      </c>
      <c r="C13" s="76" t="s">
        <v>25</v>
      </c>
      <c r="D13" s="76">
        <v>1</v>
      </c>
      <c r="E13" s="83">
        <v>2570.9299999999998</v>
      </c>
      <c r="F13" s="83">
        <v>2570.9299999999998</v>
      </c>
      <c r="G13" s="83">
        <f t="shared" si="0"/>
        <v>2570.9299999999998</v>
      </c>
      <c r="H13" s="115">
        <f t="shared" si="1"/>
        <v>78.419999999999987</v>
      </c>
      <c r="I13" s="83">
        <v>205.67</v>
      </c>
      <c r="J13" s="83">
        <v>14</v>
      </c>
      <c r="K13" s="83">
        <v>0</v>
      </c>
      <c r="L13" s="83">
        <v>2286.84</v>
      </c>
      <c r="M13" s="83">
        <v>139.9</v>
      </c>
      <c r="N13" s="83">
        <v>50</v>
      </c>
      <c r="O13" s="83">
        <v>70</v>
      </c>
      <c r="P13" s="83">
        <v>1218.94</v>
      </c>
    </row>
    <row r="14" spans="1:16" x14ac:dyDescent="0.25">
      <c r="A14" s="19" t="s">
        <v>31</v>
      </c>
      <c r="B14" s="88">
        <v>25</v>
      </c>
      <c r="C14" s="76" t="s">
        <v>25</v>
      </c>
      <c r="D14" s="76">
        <v>1</v>
      </c>
      <c r="E14" s="83">
        <v>2570.9299999999998</v>
      </c>
      <c r="F14" s="83">
        <v>2570.9299999999998</v>
      </c>
      <c r="G14" s="83">
        <f t="shared" si="0"/>
        <v>2570.9299999999998</v>
      </c>
      <c r="H14" s="115">
        <f t="shared" si="1"/>
        <v>78.419999999999987</v>
      </c>
      <c r="I14" s="83">
        <v>205.67</v>
      </c>
      <c r="J14" s="83">
        <v>14</v>
      </c>
      <c r="K14" s="83">
        <v>0</v>
      </c>
      <c r="L14" s="83">
        <v>2286.84</v>
      </c>
      <c r="M14" s="83">
        <v>139.9</v>
      </c>
      <c r="N14" s="83">
        <v>50</v>
      </c>
      <c r="O14" s="83">
        <v>70</v>
      </c>
      <c r="P14" s="83">
        <v>1474.94</v>
      </c>
    </row>
    <row r="15" spans="1:16" x14ac:dyDescent="0.25">
      <c r="A15" s="19" t="s">
        <v>32</v>
      </c>
      <c r="B15" s="88">
        <v>25</v>
      </c>
      <c r="C15" s="76" t="s">
        <v>25</v>
      </c>
      <c r="D15" s="76">
        <v>1</v>
      </c>
      <c r="E15" s="83">
        <v>2570.9299999999998</v>
      </c>
      <c r="F15" s="83">
        <v>2570.9299999999998</v>
      </c>
      <c r="G15" s="83">
        <f t="shared" si="0"/>
        <v>2570.9299999999998</v>
      </c>
      <c r="H15" s="115">
        <f t="shared" si="1"/>
        <v>78.419999999999987</v>
      </c>
      <c r="I15" s="83">
        <v>205.67</v>
      </c>
      <c r="J15" s="83">
        <v>14</v>
      </c>
      <c r="K15" s="83">
        <v>0</v>
      </c>
      <c r="L15" s="83">
        <v>2286.84</v>
      </c>
      <c r="M15" s="83">
        <v>139.9</v>
      </c>
      <c r="N15" s="83">
        <v>50</v>
      </c>
      <c r="O15" s="83">
        <v>70</v>
      </c>
      <c r="P15" s="83">
        <v>1197.94</v>
      </c>
    </row>
    <row r="16" spans="1:16" x14ac:dyDescent="0.25">
      <c r="A16" s="19" t="s">
        <v>33</v>
      </c>
      <c r="B16" s="88">
        <v>25</v>
      </c>
      <c r="C16" s="76" t="s">
        <v>25</v>
      </c>
      <c r="D16" s="76">
        <v>1</v>
      </c>
      <c r="E16" s="83">
        <v>2570.9299999999998</v>
      </c>
      <c r="F16" s="83">
        <v>2570.9299999999998</v>
      </c>
      <c r="G16" s="83">
        <f t="shared" si="0"/>
        <v>2570.9299999999998</v>
      </c>
      <c r="H16" s="115">
        <f t="shared" si="1"/>
        <v>78.419999999999987</v>
      </c>
      <c r="I16" s="83">
        <v>205.67</v>
      </c>
      <c r="J16" s="83">
        <v>14</v>
      </c>
      <c r="K16" s="83">
        <v>0</v>
      </c>
      <c r="L16" s="83">
        <v>2286.84</v>
      </c>
      <c r="M16" s="83">
        <v>139.9</v>
      </c>
      <c r="N16" s="83">
        <v>50</v>
      </c>
      <c r="O16" s="83">
        <v>70</v>
      </c>
      <c r="P16" s="83">
        <v>1197.94</v>
      </c>
    </row>
    <row r="17" spans="1:17" x14ac:dyDescent="0.25">
      <c r="A17" s="19" t="s">
        <v>34</v>
      </c>
      <c r="B17" s="88">
        <v>25</v>
      </c>
      <c r="C17" s="76" t="s">
        <v>25</v>
      </c>
      <c r="D17" s="76">
        <v>1</v>
      </c>
      <c r="E17" s="83">
        <v>2570.9299999999998</v>
      </c>
      <c r="F17" s="83">
        <v>2570.9299999999998</v>
      </c>
      <c r="G17" s="83">
        <f t="shared" si="0"/>
        <v>2570.9299999999998</v>
      </c>
      <c r="H17" s="115">
        <f t="shared" si="1"/>
        <v>78.419999999999987</v>
      </c>
      <c r="I17" s="83">
        <v>205.67</v>
      </c>
      <c r="J17" s="83">
        <v>14</v>
      </c>
      <c r="K17" s="83">
        <v>0</v>
      </c>
      <c r="L17" s="83">
        <v>2286.84</v>
      </c>
      <c r="M17" s="83">
        <v>139.9</v>
      </c>
      <c r="N17" s="83">
        <v>50</v>
      </c>
      <c r="O17" s="83">
        <v>70</v>
      </c>
      <c r="P17" s="83">
        <v>1197.94</v>
      </c>
    </row>
    <row r="18" spans="1:17" x14ac:dyDescent="0.25">
      <c r="A18" s="19" t="s">
        <v>35</v>
      </c>
      <c r="B18" s="88">
        <v>25</v>
      </c>
      <c r="C18" s="76" t="s">
        <v>25</v>
      </c>
      <c r="D18" s="76">
        <v>1</v>
      </c>
      <c r="E18" s="83">
        <v>2758.17</v>
      </c>
      <c r="F18" s="83">
        <v>2758.17</v>
      </c>
      <c r="G18" s="83">
        <f t="shared" si="0"/>
        <v>2758.17</v>
      </c>
      <c r="H18" s="115">
        <f>77.23+6.9</f>
        <v>84.13000000000001</v>
      </c>
      <c r="I18" s="83">
        <v>220.65</v>
      </c>
      <c r="J18" s="83">
        <v>14</v>
      </c>
      <c r="K18" s="83">
        <v>0</v>
      </c>
      <c r="L18" s="83">
        <v>2453.39</v>
      </c>
      <c r="M18" s="83">
        <v>170.4</v>
      </c>
      <c r="N18" s="83">
        <v>50</v>
      </c>
      <c r="O18" s="83">
        <v>70</v>
      </c>
      <c r="P18" s="83">
        <v>1331.38</v>
      </c>
      <c r="Q18" s="20"/>
    </row>
    <row r="19" spans="1:17" x14ac:dyDescent="0.25">
      <c r="A19" s="19" t="s">
        <v>36</v>
      </c>
      <c r="B19" s="88">
        <v>25</v>
      </c>
      <c r="C19" s="76" t="s">
        <v>25</v>
      </c>
      <c r="D19" s="76">
        <v>1</v>
      </c>
      <c r="E19" s="83">
        <v>3085.11</v>
      </c>
      <c r="F19" s="83">
        <v>3085.11</v>
      </c>
      <c r="G19" s="83">
        <f t="shared" si="0"/>
        <v>3085.11</v>
      </c>
      <c r="H19" s="115">
        <f>86.38+7.71</f>
        <v>94.089999999999989</v>
      </c>
      <c r="I19" s="83">
        <v>246.81</v>
      </c>
      <c r="J19" s="83">
        <v>14</v>
      </c>
      <c r="K19" s="83">
        <v>0</v>
      </c>
      <c r="L19" s="83">
        <v>2744.2</v>
      </c>
      <c r="M19" s="83">
        <v>231.8</v>
      </c>
      <c r="N19" s="83">
        <v>50</v>
      </c>
      <c r="O19" s="83">
        <v>60.07</v>
      </c>
      <c r="P19" s="83">
        <v>1546.28</v>
      </c>
      <c r="Q19" s="20"/>
    </row>
    <row r="20" spans="1:17" x14ac:dyDescent="0.25">
      <c r="A20" s="19" t="s">
        <v>37</v>
      </c>
      <c r="B20" s="88">
        <v>25</v>
      </c>
      <c r="C20" s="76" t="s">
        <v>25</v>
      </c>
      <c r="D20" s="76">
        <v>1</v>
      </c>
      <c r="E20" s="83">
        <v>3085.11</v>
      </c>
      <c r="F20" s="83">
        <v>3085.11</v>
      </c>
      <c r="G20" s="83">
        <f t="shared" ref="G20:G21" si="2">F20</f>
        <v>3085.11</v>
      </c>
      <c r="H20" s="115">
        <f>86.38+7.71</f>
        <v>94.089999999999989</v>
      </c>
      <c r="I20" s="83">
        <v>246.81</v>
      </c>
      <c r="J20" s="83">
        <v>14</v>
      </c>
      <c r="K20" s="83">
        <v>0</v>
      </c>
      <c r="L20" s="83">
        <v>2744.2</v>
      </c>
      <c r="M20" s="83">
        <v>231.8</v>
      </c>
      <c r="N20" s="83">
        <v>50</v>
      </c>
      <c r="O20" s="83">
        <v>60.07</v>
      </c>
      <c r="P20" s="83">
        <v>1546.28</v>
      </c>
    </row>
    <row r="21" spans="1:17" ht="15.75" thickBot="1" x14ac:dyDescent="0.3">
      <c r="A21" s="19" t="s">
        <v>38</v>
      </c>
      <c r="B21" s="88">
        <v>25</v>
      </c>
      <c r="C21" s="76" t="s">
        <v>25</v>
      </c>
      <c r="D21" s="76">
        <v>1</v>
      </c>
      <c r="E21" s="83">
        <v>3085.11</v>
      </c>
      <c r="F21" s="83">
        <v>3085.11</v>
      </c>
      <c r="G21" s="83">
        <f t="shared" si="2"/>
        <v>3085.11</v>
      </c>
      <c r="H21" s="115">
        <f>86.38+7.71</f>
        <v>94.089999999999989</v>
      </c>
      <c r="I21" s="83">
        <v>246.81</v>
      </c>
      <c r="J21" s="83">
        <v>14</v>
      </c>
      <c r="K21" s="83">
        <v>0</v>
      </c>
      <c r="L21" s="83">
        <v>2744.2</v>
      </c>
      <c r="M21" s="83">
        <v>231.8</v>
      </c>
      <c r="N21" s="83">
        <v>50</v>
      </c>
      <c r="O21" s="83">
        <v>60.07</v>
      </c>
      <c r="P21" s="83">
        <v>1896.28</v>
      </c>
    </row>
    <row r="22" spans="1:17" ht="15.75" thickBot="1" x14ac:dyDescent="0.3">
      <c r="A22" s="12"/>
      <c r="B22" s="13"/>
      <c r="C22" s="13"/>
      <c r="D22" s="13"/>
      <c r="E22" s="84">
        <f t="shared" ref="E22:P22" si="3">SUM(E10:E21)</f>
        <v>32580.940000000002</v>
      </c>
      <c r="F22" s="84">
        <f t="shared" si="3"/>
        <v>32580.940000000002</v>
      </c>
      <c r="G22" s="84">
        <f t="shared" si="3"/>
        <v>32580.940000000002</v>
      </c>
      <c r="H22" s="84">
        <f t="shared" si="3"/>
        <v>993.75999999999988</v>
      </c>
      <c r="I22" s="84">
        <f t="shared" si="3"/>
        <v>2606.44</v>
      </c>
      <c r="J22" s="84">
        <f t="shared" si="3"/>
        <v>168</v>
      </c>
      <c r="K22" s="84">
        <f t="shared" si="3"/>
        <v>0</v>
      </c>
      <c r="L22" s="84">
        <f t="shared" si="3"/>
        <v>28980.710000000003</v>
      </c>
      <c r="M22" s="84">
        <f t="shared" si="3"/>
        <v>1994.3999999999999</v>
      </c>
      <c r="N22" s="84">
        <f t="shared" si="3"/>
        <v>600</v>
      </c>
      <c r="O22" s="84">
        <f t="shared" si="3"/>
        <v>810.21000000000015</v>
      </c>
      <c r="P22" s="85">
        <f t="shared" si="3"/>
        <v>16366.340000000006</v>
      </c>
    </row>
    <row r="23" spans="1:17" x14ac:dyDescent="0.25">
      <c r="N23" s="20"/>
    </row>
    <row r="24" spans="1:17" x14ac:dyDescent="0.25">
      <c r="N24" s="20"/>
    </row>
    <row r="25" spans="1:17" x14ac:dyDescent="0.25">
      <c r="A25" s="154" t="s">
        <v>16</v>
      </c>
      <c r="B25" s="154" t="s">
        <v>17</v>
      </c>
      <c r="C25" s="154" t="s">
        <v>18</v>
      </c>
      <c r="D25" s="154" t="s">
        <v>19</v>
      </c>
      <c r="E25" s="154" t="s">
        <v>20</v>
      </c>
      <c r="F25" s="154" t="s">
        <v>21</v>
      </c>
      <c r="G25" s="154" t="s">
        <v>7</v>
      </c>
      <c r="H25" s="155" t="s">
        <v>22</v>
      </c>
      <c r="I25" s="156"/>
      <c r="J25" s="156"/>
      <c r="K25" s="157"/>
    </row>
    <row r="26" spans="1:17" x14ac:dyDescent="0.25">
      <c r="A26" s="154"/>
      <c r="B26" s="154"/>
      <c r="C26" s="154"/>
      <c r="D26" s="154"/>
      <c r="E26" s="154"/>
      <c r="F26" s="154"/>
      <c r="G26" s="154"/>
      <c r="H26" s="177" t="s">
        <v>9</v>
      </c>
      <c r="I26" s="178"/>
      <c r="J26" s="11" t="s">
        <v>23</v>
      </c>
      <c r="K26" s="103" t="s">
        <v>24</v>
      </c>
    </row>
    <row r="27" spans="1:17" x14ac:dyDescent="0.25">
      <c r="A27" s="1" t="s">
        <v>69</v>
      </c>
      <c r="B27" s="81">
        <v>173</v>
      </c>
      <c r="C27" s="79"/>
      <c r="D27" s="80">
        <v>8</v>
      </c>
      <c r="E27" s="80">
        <v>8</v>
      </c>
      <c r="F27" s="80"/>
      <c r="G27" s="78">
        <v>16</v>
      </c>
      <c r="H27" s="149">
        <f t="shared" ref="H27:H38" si="4">M10</f>
        <v>149.30000000000001</v>
      </c>
      <c r="I27" s="150"/>
      <c r="J27" s="102">
        <f t="shared" ref="J27:J38" si="5">N10</f>
        <v>50</v>
      </c>
      <c r="K27" s="83">
        <f t="shared" ref="K27:K38" si="6">P10</f>
        <v>1244.54</v>
      </c>
    </row>
    <row r="28" spans="1:17" x14ac:dyDescent="0.25">
      <c r="A28" s="2" t="s">
        <v>70</v>
      </c>
      <c r="B28" s="81">
        <v>173</v>
      </c>
      <c r="C28" s="77"/>
      <c r="D28" s="81">
        <v>16</v>
      </c>
      <c r="E28" s="81"/>
      <c r="F28" s="81"/>
      <c r="G28" s="76"/>
      <c r="H28" s="149">
        <f t="shared" si="4"/>
        <v>139.9</v>
      </c>
      <c r="I28" s="150"/>
      <c r="J28" s="102">
        <f t="shared" si="5"/>
        <v>50</v>
      </c>
      <c r="K28" s="83">
        <f t="shared" si="6"/>
        <v>1259.94</v>
      </c>
    </row>
    <row r="29" spans="1:17" x14ac:dyDescent="0.25">
      <c r="A29" s="2" t="s">
        <v>71</v>
      </c>
      <c r="B29" s="81">
        <v>173</v>
      </c>
      <c r="C29" s="77"/>
      <c r="D29" s="81"/>
      <c r="E29" s="81"/>
      <c r="F29" s="81"/>
      <c r="G29" s="76"/>
      <c r="H29" s="149">
        <f t="shared" si="4"/>
        <v>139.9</v>
      </c>
      <c r="I29" s="150"/>
      <c r="J29" s="102">
        <f t="shared" si="5"/>
        <v>50</v>
      </c>
      <c r="K29" s="83">
        <f t="shared" si="6"/>
        <v>1253.94</v>
      </c>
    </row>
    <row r="30" spans="1:17" x14ac:dyDescent="0.25">
      <c r="A30" s="2" t="s">
        <v>72</v>
      </c>
      <c r="B30" s="81">
        <v>173</v>
      </c>
      <c r="C30" s="77"/>
      <c r="D30" s="81">
        <v>24</v>
      </c>
      <c r="E30" s="81">
        <v>8</v>
      </c>
      <c r="F30" s="81"/>
      <c r="G30" s="76">
        <v>24</v>
      </c>
      <c r="H30" s="149">
        <f t="shared" si="4"/>
        <v>139.9</v>
      </c>
      <c r="I30" s="150"/>
      <c r="J30" s="102">
        <f t="shared" si="5"/>
        <v>50</v>
      </c>
      <c r="K30" s="83">
        <f t="shared" si="6"/>
        <v>1218.94</v>
      </c>
    </row>
    <row r="31" spans="1:17" x14ac:dyDescent="0.25">
      <c r="A31" s="2" t="s">
        <v>71</v>
      </c>
      <c r="B31" s="81">
        <v>173</v>
      </c>
      <c r="C31" s="77"/>
      <c r="D31" s="81">
        <v>8</v>
      </c>
      <c r="E31" s="81">
        <v>32</v>
      </c>
      <c r="F31" s="81"/>
      <c r="G31" s="76"/>
      <c r="H31" s="149">
        <f t="shared" si="4"/>
        <v>139.9</v>
      </c>
      <c r="I31" s="150"/>
      <c r="J31" s="102">
        <f t="shared" si="5"/>
        <v>50</v>
      </c>
      <c r="K31" s="83">
        <f t="shared" si="6"/>
        <v>1474.94</v>
      </c>
    </row>
    <row r="32" spans="1:17" x14ac:dyDescent="0.25">
      <c r="A32" s="6" t="s">
        <v>69</v>
      </c>
      <c r="B32" s="81">
        <v>173</v>
      </c>
      <c r="C32" s="77"/>
      <c r="D32" s="81">
        <v>40</v>
      </c>
      <c r="E32" s="81">
        <v>16</v>
      </c>
      <c r="F32" s="81"/>
      <c r="G32" s="76"/>
      <c r="H32" s="149">
        <f t="shared" si="4"/>
        <v>139.9</v>
      </c>
      <c r="I32" s="150"/>
      <c r="J32" s="102">
        <f t="shared" si="5"/>
        <v>50</v>
      </c>
      <c r="K32" s="83">
        <f t="shared" si="6"/>
        <v>1197.94</v>
      </c>
    </row>
    <row r="33" spans="1:11" x14ac:dyDescent="0.25">
      <c r="A33" s="6" t="s">
        <v>69</v>
      </c>
      <c r="B33" s="81">
        <v>173</v>
      </c>
      <c r="C33" s="77"/>
      <c r="D33" s="81"/>
      <c r="E33" s="81"/>
      <c r="F33" s="81"/>
      <c r="G33" s="76"/>
      <c r="H33" s="149">
        <f t="shared" si="4"/>
        <v>139.9</v>
      </c>
      <c r="I33" s="150"/>
      <c r="J33" s="102">
        <f t="shared" si="5"/>
        <v>50</v>
      </c>
      <c r="K33" s="83">
        <f t="shared" si="6"/>
        <v>1197.94</v>
      </c>
    </row>
    <row r="34" spans="1:11" x14ac:dyDescent="0.25">
      <c r="A34" s="6" t="s">
        <v>72</v>
      </c>
      <c r="B34" s="81">
        <v>173</v>
      </c>
      <c r="C34" s="77"/>
      <c r="D34" s="81">
        <v>80</v>
      </c>
      <c r="E34" s="81">
        <v>8</v>
      </c>
      <c r="F34" s="81"/>
      <c r="G34" s="76"/>
      <c r="H34" s="149">
        <f t="shared" si="4"/>
        <v>139.9</v>
      </c>
      <c r="I34" s="150"/>
      <c r="J34" s="102">
        <f t="shared" si="5"/>
        <v>50</v>
      </c>
      <c r="K34" s="83">
        <f t="shared" si="6"/>
        <v>1197.94</v>
      </c>
    </row>
    <row r="35" spans="1:11" x14ac:dyDescent="0.25">
      <c r="A35" s="6" t="s">
        <v>73</v>
      </c>
      <c r="B35" s="81">
        <v>173</v>
      </c>
      <c r="C35" s="77"/>
      <c r="D35" s="81">
        <v>32</v>
      </c>
      <c r="E35" s="81"/>
      <c r="F35" s="81"/>
      <c r="G35" s="76">
        <v>72</v>
      </c>
      <c r="H35" s="149">
        <f t="shared" si="4"/>
        <v>170.4</v>
      </c>
      <c r="I35" s="150"/>
      <c r="J35" s="102">
        <f t="shared" si="5"/>
        <v>50</v>
      </c>
      <c r="K35" s="83">
        <f t="shared" si="6"/>
        <v>1331.38</v>
      </c>
    </row>
    <row r="36" spans="1:11" x14ac:dyDescent="0.25">
      <c r="A36" s="6" t="s">
        <v>74</v>
      </c>
      <c r="B36" s="81">
        <v>173</v>
      </c>
      <c r="C36" s="77"/>
      <c r="D36" s="81"/>
      <c r="E36" s="81"/>
      <c r="F36" s="81"/>
      <c r="G36" s="76"/>
      <c r="H36" s="149">
        <f t="shared" si="4"/>
        <v>231.8</v>
      </c>
      <c r="I36" s="150"/>
      <c r="J36" s="102">
        <f t="shared" si="5"/>
        <v>50</v>
      </c>
      <c r="K36" s="83">
        <f t="shared" si="6"/>
        <v>1546.28</v>
      </c>
    </row>
    <row r="37" spans="1:11" x14ac:dyDescent="0.25">
      <c r="A37" s="6" t="s">
        <v>75</v>
      </c>
      <c r="B37" s="81">
        <v>173</v>
      </c>
      <c r="C37" s="77"/>
      <c r="D37" s="81"/>
      <c r="E37" s="81">
        <v>8</v>
      </c>
      <c r="F37" s="81"/>
      <c r="G37" s="76"/>
      <c r="H37" s="149">
        <f t="shared" si="4"/>
        <v>231.8</v>
      </c>
      <c r="I37" s="150"/>
      <c r="J37" s="102">
        <f t="shared" si="5"/>
        <v>50</v>
      </c>
      <c r="K37" s="83">
        <f t="shared" si="6"/>
        <v>1546.28</v>
      </c>
    </row>
    <row r="38" spans="1:11" ht="15.75" thickBot="1" x14ac:dyDescent="0.3">
      <c r="A38" s="6" t="s">
        <v>76</v>
      </c>
      <c r="B38" s="81">
        <v>173</v>
      </c>
      <c r="C38" s="77"/>
      <c r="D38" s="81">
        <v>40</v>
      </c>
      <c r="E38" s="81">
        <v>16</v>
      </c>
      <c r="F38" s="81"/>
      <c r="G38" s="76"/>
      <c r="H38" s="149">
        <f t="shared" si="4"/>
        <v>231.8</v>
      </c>
      <c r="I38" s="150"/>
      <c r="J38" s="102">
        <f t="shared" si="5"/>
        <v>50</v>
      </c>
      <c r="K38" s="83">
        <f t="shared" si="6"/>
        <v>1896.28</v>
      </c>
    </row>
    <row r="39" spans="1:11" ht="15.75" thickBot="1" x14ac:dyDescent="0.3">
      <c r="A39" s="72"/>
      <c r="B39" s="86">
        <f>SUM(B27:B38)</f>
        <v>2076</v>
      </c>
      <c r="C39" s="86">
        <f t="shared" ref="C39:H39" si="7">SUM(C27:C38)</f>
        <v>0</v>
      </c>
      <c r="D39" s="86">
        <f t="shared" si="7"/>
        <v>248</v>
      </c>
      <c r="E39" s="86">
        <f t="shared" si="7"/>
        <v>96</v>
      </c>
      <c r="F39" s="86">
        <f t="shared" si="7"/>
        <v>0</v>
      </c>
      <c r="G39" s="86">
        <f t="shared" si="7"/>
        <v>112</v>
      </c>
      <c r="H39" s="151">
        <f t="shared" si="7"/>
        <v>1994.3999999999999</v>
      </c>
      <c r="I39" s="152"/>
      <c r="J39" s="84">
        <f>SUM(J27:J38)</f>
        <v>600</v>
      </c>
      <c r="K39" s="85">
        <f>SUM(K27:K38)</f>
        <v>16366.340000000006</v>
      </c>
    </row>
  </sheetData>
  <mergeCells count="40">
    <mergeCell ref="H38:I38"/>
    <mergeCell ref="H39:I39"/>
    <mergeCell ref="L5:N5"/>
    <mergeCell ref="L6:N6"/>
    <mergeCell ref="L7:N7"/>
    <mergeCell ref="H30:I30"/>
    <mergeCell ref="H31:I31"/>
    <mergeCell ref="H32:I32"/>
    <mergeCell ref="H33:I33"/>
    <mergeCell ref="H34:I34"/>
    <mergeCell ref="H35:I35"/>
    <mergeCell ref="H29:I29"/>
    <mergeCell ref="H26:I26"/>
    <mergeCell ref="H27:I27"/>
    <mergeCell ref="H28:I28"/>
    <mergeCell ref="H36:I36"/>
    <mergeCell ref="H37:I37"/>
    <mergeCell ref="L2:N3"/>
    <mergeCell ref="A4:D4"/>
    <mergeCell ref="F25:F26"/>
    <mergeCell ref="A6:D6"/>
    <mergeCell ref="E6:F6"/>
    <mergeCell ref="G6:H6"/>
    <mergeCell ref="A7:D7"/>
    <mergeCell ref="E7:F7"/>
    <mergeCell ref="G7:H7"/>
    <mergeCell ref="A25:A26"/>
    <mergeCell ref="B25:B26"/>
    <mergeCell ref="C25:C26"/>
    <mergeCell ref="D25:D26"/>
    <mergeCell ref="E25:E26"/>
    <mergeCell ref="G25:G26"/>
    <mergeCell ref="B2:B3"/>
    <mergeCell ref="D2:D3"/>
    <mergeCell ref="F2:I3"/>
    <mergeCell ref="H25:K25"/>
    <mergeCell ref="A5:D5"/>
    <mergeCell ref="E5:F5"/>
    <mergeCell ref="G5:H5"/>
    <mergeCell ref="J5:K5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406548-5B02-4BA0-895F-A5039D0D891F}">
  <sheetPr>
    <tabColor rgb="FFFF0000"/>
  </sheetPr>
  <dimension ref="A2:Q39"/>
  <sheetViews>
    <sheetView workbookViewId="0">
      <selection activeCell="A11" sqref="A11"/>
    </sheetView>
  </sheetViews>
  <sheetFormatPr defaultColWidth="11.42578125" defaultRowHeight="15" x14ac:dyDescent="0.25"/>
  <cols>
    <col min="1" max="1" width="11.140625" customWidth="1"/>
    <col min="2" max="2" width="12" customWidth="1"/>
    <col min="3" max="16" width="15.140625" customWidth="1"/>
  </cols>
  <sheetData>
    <row r="2" spans="1:16" x14ac:dyDescent="0.25">
      <c r="A2" s="3"/>
      <c r="B2" s="169" t="s">
        <v>0</v>
      </c>
      <c r="C2" s="14"/>
      <c r="D2" s="147">
        <v>2024</v>
      </c>
      <c r="E2" s="14"/>
      <c r="F2" s="169" t="s">
        <v>15</v>
      </c>
      <c r="G2" s="169"/>
      <c r="H2" s="169"/>
      <c r="I2" s="169"/>
      <c r="J2" s="14"/>
      <c r="K2" s="14"/>
      <c r="L2" s="147" t="s">
        <v>96</v>
      </c>
      <c r="M2" s="147"/>
      <c r="N2" s="147"/>
      <c r="O2" s="14"/>
      <c r="P2" s="15"/>
    </row>
    <row r="3" spans="1:16" x14ac:dyDescent="0.25">
      <c r="A3" s="8"/>
      <c r="B3" s="170"/>
      <c r="C3" s="16"/>
      <c r="D3" s="148"/>
      <c r="E3" s="16"/>
      <c r="F3" s="170"/>
      <c r="G3" s="170"/>
      <c r="H3" s="170"/>
      <c r="I3" s="170"/>
      <c r="J3" s="16"/>
      <c r="K3" s="16"/>
      <c r="L3" s="148"/>
      <c r="M3" s="148"/>
      <c r="N3" s="148"/>
      <c r="O3" s="16"/>
      <c r="P3" s="17"/>
    </row>
    <row r="4" spans="1:16" x14ac:dyDescent="0.25">
      <c r="A4" s="171" t="s">
        <v>58</v>
      </c>
      <c r="B4" s="172"/>
      <c r="C4" s="172"/>
      <c r="D4" s="173"/>
      <c r="E4" s="3"/>
      <c r="F4" s="4"/>
      <c r="G4" s="4"/>
      <c r="H4" s="4"/>
      <c r="I4" s="4"/>
      <c r="J4" s="4"/>
      <c r="K4" s="4"/>
      <c r="L4" s="4"/>
      <c r="M4" s="4"/>
      <c r="N4" s="4"/>
      <c r="O4" s="4"/>
      <c r="P4" s="5"/>
    </row>
    <row r="5" spans="1:16" x14ac:dyDescent="0.25">
      <c r="A5" s="174" t="s">
        <v>59</v>
      </c>
      <c r="B5" s="146"/>
      <c r="C5" s="146"/>
      <c r="D5" s="175"/>
      <c r="E5" s="162" t="s">
        <v>12</v>
      </c>
      <c r="F5" s="163"/>
      <c r="G5" s="153">
        <f>G6</f>
        <v>45566</v>
      </c>
      <c r="H5" s="153"/>
      <c r="J5" s="145" t="s">
        <v>97</v>
      </c>
      <c r="K5" s="145"/>
      <c r="L5" s="145" t="s">
        <v>93</v>
      </c>
      <c r="M5" s="145"/>
      <c r="N5" s="145"/>
      <c r="O5" t="s">
        <v>39</v>
      </c>
      <c r="P5" s="124" t="s">
        <v>113</v>
      </c>
    </row>
    <row r="6" spans="1:16" x14ac:dyDescent="0.25">
      <c r="A6" s="174" t="s">
        <v>60</v>
      </c>
      <c r="B6" s="146"/>
      <c r="C6" s="146"/>
      <c r="D6" s="175"/>
      <c r="E6" s="162" t="s">
        <v>13</v>
      </c>
      <c r="F6" s="163"/>
      <c r="G6" s="153">
        <v>45566</v>
      </c>
      <c r="H6" s="153"/>
      <c r="L6" s="146" t="s">
        <v>94</v>
      </c>
      <c r="M6" s="146"/>
      <c r="N6" s="146"/>
      <c r="P6" s="7"/>
    </row>
    <row r="7" spans="1:16" x14ac:dyDescent="0.25">
      <c r="A7" s="166" t="s">
        <v>83</v>
      </c>
      <c r="B7" s="167"/>
      <c r="C7" s="167"/>
      <c r="D7" s="168"/>
      <c r="E7" s="162" t="s">
        <v>14</v>
      </c>
      <c r="F7" s="163"/>
      <c r="G7" s="176">
        <v>45535</v>
      </c>
      <c r="H7" s="176"/>
      <c r="L7" s="146" t="s">
        <v>95</v>
      </c>
      <c r="M7" s="146"/>
      <c r="N7" s="146"/>
      <c r="P7" s="7"/>
    </row>
    <row r="8" spans="1:16" x14ac:dyDescent="0.25">
      <c r="A8" s="8"/>
      <c r="B8" s="9"/>
      <c r="C8" s="9"/>
      <c r="D8" s="10"/>
      <c r="E8" s="8"/>
      <c r="F8" s="9"/>
      <c r="G8" s="9"/>
      <c r="H8" s="9"/>
      <c r="I8" s="9"/>
      <c r="J8" s="9"/>
      <c r="K8" s="9"/>
      <c r="L8" s="9"/>
      <c r="M8" s="9"/>
      <c r="N8" s="9"/>
      <c r="O8" s="9"/>
      <c r="P8" s="10"/>
    </row>
    <row r="9" spans="1:16" x14ac:dyDescent="0.25">
      <c r="A9" s="11" t="s">
        <v>1</v>
      </c>
      <c r="B9" s="1" t="s">
        <v>3</v>
      </c>
      <c r="C9" s="122" t="s">
        <v>2</v>
      </c>
      <c r="D9" s="116" t="s">
        <v>26</v>
      </c>
      <c r="E9" s="122" t="s">
        <v>4</v>
      </c>
      <c r="F9" s="122" t="s">
        <v>5</v>
      </c>
      <c r="G9" s="122" t="s">
        <v>6</v>
      </c>
      <c r="H9" s="116" t="s">
        <v>7</v>
      </c>
      <c r="I9" s="116" t="s">
        <v>8</v>
      </c>
      <c r="J9" s="116" t="s">
        <v>114</v>
      </c>
      <c r="K9" s="116" t="s">
        <v>84</v>
      </c>
      <c r="L9" s="116" t="s">
        <v>9</v>
      </c>
      <c r="M9" s="116" t="s">
        <v>10</v>
      </c>
      <c r="N9" s="116" t="s">
        <v>78</v>
      </c>
      <c r="O9" s="116" t="s">
        <v>77</v>
      </c>
      <c r="P9" s="116" t="s">
        <v>11</v>
      </c>
    </row>
    <row r="10" spans="1:16" x14ac:dyDescent="0.25">
      <c r="A10" s="18" t="s">
        <v>27</v>
      </c>
      <c r="B10" s="87">
        <v>25</v>
      </c>
      <c r="C10" s="78" t="s">
        <v>25</v>
      </c>
      <c r="D10" s="125">
        <v>0.15</v>
      </c>
      <c r="E10" s="82">
        <v>13600</v>
      </c>
      <c r="F10" s="82">
        <v>13600</v>
      </c>
      <c r="G10" s="82">
        <f t="shared" ref="G10:G11" si="0">F10</f>
        <v>13600</v>
      </c>
      <c r="H10" s="115">
        <f>380.8+34</f>
        <v>414.8</v>
      </c>
      <c r="I10" s="83">
        <v>1088</v>
      </c>
      <c r="J10" s="83">
        <v>0</v>
      </c>
      <c r="K10" s="83">
        <f>115.5+460</f>
        <v>575.5</v>
      </c>
      <c r="L10" s="83">
        <v>11521.7</v>
      </c>
      <c r="M10" s="83">
        <v>1728.26</v>
      </c>
      <c r="N10" s="83">
        <v>0</v>
      </c>
      <c r="O10" s="83">
        <v>0</v>
      </c>
      <c r="P10" s="82">
        <v>10131.540000000001</v>
      </c>
    </row>
    <row r="11" spans="1:16" x14ac:dyDescent="0.25">
      <c r="A11" s="19" t="s">
        <v>116</v>
      </c>
      <c r="B11" s="88">
        <v>25</v>
      </c>
      <c r="C11" s="76" t="s">
        <v>25</v>
      </c>
      <c r="D11" s="126">
        <v>0.15</v>
      </c>
      <c r="E11" s="83">
        <v>16800</v>
      </c>
      <c r="F11" s="83">
        <v>16800</v>
      </c>
      <c r="G11" s="83">
        <f t="shared" si="0"/>
        <v>16800</v>
      </c>
      <c r="H11" s="115">
        <f>470.4+42</f>
        <v>512.4</v>
      </c>
      <c r="I11" s="83">
        <v>1344</v>
      </c>
      <c r="J11" s="83">
        <v>0</v>
      </c>
      <c r="K11" s="83">
        <f t="shared" ref="K11:K13" si="1">115.5+460</f>
        <v>575.5</v>
      </c>
      <c r="L11" s="83">
        <v>14368.1</v>
      </c>
      <c r="M11" s="83">
        <v>2155.2199999999998</v>
      </c>
      <c r="N11" s="83">
        <v>0</v>
      </c>
      <c r="O11" s="83">
        <v>0</v>
      </c>
      <c r="P11" s="83">
        <v>17610.87</v>
      </c>
    </row>
    <row r="12" spans="1:16" x14ac:dyDescent="0.25">
      <c r="A12" s="19" t="s">
        <v>29</v>
      </c>
      <c r="B12" s="88">
        <v>25</v>
      </c>
      <c r="C12" s="76" t="s">
        <v>25</v>
      </c>
      <c r="D12" s="126">
        <v>0.15</v>
      </c>
      <c r="E12" s="83">
        <v>19700</v>
      </c>
      <c r="F12" s="83">
        <v>19700</v>
      </c>
      <c r="G12" s="83">
        <f t="shared" ref="G12" si="2">F12</f>
        <v>19700</v>
      </c>
      <c r="H12" s="115">
        <f>551.6+49.25</f>
        <v>600.85</v>
      </c>
      <c r="I12" s="83">
        <v>1576</v>
      </c>
      <c r="J12" s="83">
        <v>0</v>
      </c>
      <c r="K12" s="83">
        <f t="shared" si="1"/>
        <v>575.5</v>
      </c>
      <c r="L12" s="83">
        <v>16947.650000000001</v>
      </c>
      <c r="M12" s="83">
        <v>2542.15</v>
      </c>
      <c r="N12" s="83">
        <v>0</v>
      </c>
      <c r="O12" s="83">
        <v>0</v>
      </c>
      <c r="P12" s="83">
        <v>14840.2</v>
      </c>
    </row>
    <row r="13" spans="1:16" x14ac:dyDescent="0.25">
      <c r="A13" s="19" t="s">
        <v>30</v>
      </c>
      <c r="B13" s="88">
        <v>25</v>
      </c>
      <c r="C13" s="76" t="s">
        <v>25</v>
      </c>
      <c r="D13" s="126">
        <v>0.15</v>
      </c>
      <c r="E13" s="83">
        <v>8300</v>
      </c>
      <c r="F13" s="83">
        <v>8300</v>
      </c>
      <c r="G13" s="83">
        <f t="shared" ref="G13:G14" si="3">F13</f>
        <v>8300</v>
      </c>
      <c r="H13" s="115">
        <f>232.4+20.75</f>
        <v>253.15</v>
      </c>
      <c r="I13" s="83">
        <v>664</v>
      </c>
      <c r="J13" s="83">
        <v>0</v>
      </c>
      <c r="K13" s="83">
        <f t="shared" si="1"/>
        <v>575.5</v>
      </c>
      <c r="L13" s="83">
        <v>6807.35</v>
      </c>
      <c r="M13" s="83">
        <v>1021.1</v>
      </c>
      <c r="N13" s="83">
        <v>0</v>
      </c>
      <c r="O13" s="83">
        <v>0</v>
      </c>
      <c r="P13" s="83">
        <v>12404.88</v>
      </c>
    </row>
    <row r="14" spans="1:16" x14ac:dyDescent="0.25">
      <c r="A14" s="19" t="s">
        <v>31</v>
      </c>
      <c r="B14" s="88">
        <v>25</v>
      </c>
      <c r="C14" s="76" t="s">
        <v>25</v>
      </c>
      <c r="D14" s="76">
        <v>2</v>
      </c>
      <c r="E14" s="83">
        <v>14500</v>
      </c>
      <c r="F14" s="83">
        <v>14500</v>
      </c>
      <c r="G14" s="83">
        <f t="shared" si="3"/>
        <v>14500</v>
      </c>
      <c r="H14" s="115">
        <f>406+36.25</f>
        <v>442.25</v>
      </c>
      <c r="I14" s="83">
        <v>1160</v>
      </c>
      <c r="J14" s="83">
        <v>0</v>
      </c>
      <c r="K14" s="83">
        <v>115.5</v>
      </c>
      <c r="L14" s="83">
        <v>12782.25</v>
      </c>
      <c r="M14" s="83">
        <v>3248.9</v>
      </c>
      <c r="N14" s="83">
        <v>0</v>
      </c>
      <c r="O14" s="83">
        <v>0</v>
      </c>
      <c r="P14" s="83">
        <v>10974.45</v>
      </c>
    </row>
    <row r="15" spans="1:16" x14ac:dyDescent="0.25">
      <c r="A15" s="19" t="s">
        <v>32</v>
      </c>
      <c r="B15" s="88">
        <v>25</v>
      </c>
      <c r="C15" s="76" t="s">
        <v>25</v>
      </c>
      <c r="D15" s="76">
        <v>2</v>
      </c>
      <c r="E15" s="83">
        <v>12200</v>
      </c>
      <c r="F15" s="83">
        <v>12200</v>
      </c>
      <c r="G15" s="83">
        <f t="shared" ref="G15" si="4">F15</f>
        <v>12200</v>
      </c>
      <c r="H15" s="115">
        <f>341.6+30.5</f>
        <v>372.1</v>
      </c>
      <c r="I15" s="83">
        <v>976</v>
      </c>
      <c r="J15" s="83">
        <v>0</v>
      </c>
      <c r="K15" s="83">
        <v>115.5</v>
      </c>
      <c r="L15" s="83">
        <v>10736.4</v>
      </c>
      <c r="M15" s="83" t="s">
        <v>115</v>
      </c>
      <c r="N15" s="83">
        <v>0</v>
      </c>
      <c r="O15" s="83">
        <v>0</v>
      </c>
      <c r="P15" s="83">
        <v>12090.28</v>
      </c>
    </row>
    <row r="16" spans="1:16" x14ac:dyDescent="0.25">
      <c r="A16" s="19" t="s">
        <v>33</v>
      </c>
      <c r="B16" s="88">
        <v>25</v>
      </c>
      <c r="C16" s="76" t="s">
        <v>25</v>
      </c>
      <c r="D16" s="76">
        <v>2</v>
      </c>
      <c r="E16" s="83">
        <v>7000</v>
      </c>
      <c r="F16" s="83">
        <v>7000</v>
      </c>
      <c r="G16" s="83">
        <f t="shared" ref="G16" si="5">F16</f>
        <v>7000</v>
      </c>
      <c r="H16" s="115">
        <f>196+17.5</f>
        <v>213.5</v>
      </c>
      <c r="I16" s="83">
        <v>560</v>
      </c>
      <c r="J16" s="83">
        <v>0</v>
      </c>
      <c r="K16" s="83">
        <v>115.5</v>
      </c>
      <c r="L16" s="83">
        <v>6111</v>
      </c>
      <c r="M16" s="83">
        <v>642.9</v>
      </c>
      <c r="N16" s="83">
        <v>0</v>
      </c>
      <c r="O16" s="83">
        <v>0</v>
      </c>
      <c r="P16" s="83">
        <v>1941.2</v>
      </c>
    </row>
    <row r="17" spans="1:17" x14ac:dyDescent="0.25">
      <c r="A17" s="19" t="s">
        <v>34</v>
      </c>
      <c r="B17" s="88">
        <v>25</v>
      </c>
      <c r="C17" s="76" t="s">
        <v>25</v>
      </c>
      <c r="D17" s="76">
        <v>2</v>
      </c>
      <c r="E17" s="83">
        <v>7000</v>
      </c>
      <c r="F17" s="83">
        <v>7000</v>
      </c>
      <c r="G17" s="83">
        <f t="shared" ref="G17" si="6">F17</f>
        <v>7000</v>
      </c>
      <c r="H17" s="115">
        <f>196+17.5</f>
        <v>213.5</v>
      </c>
      <c r="I17" s="83">
        <v>560</v>
      </c>
      <c r="J17" s="83">
        <v>0</v>
      </c>
      <c r="K17" s="83">
        <v>115.5</v>
      </c>
      <c r="L17" s="83">
        <v>6111</v>
      </c>
      <c r="M17" s="83">
        <v>642.9</v>
      </c>
      <c r="N17" s="83">
        <v>0</v>
      </c>
      <c r="O17" s="83">
        <v>0</v>
      </c>
      <c r="P17" s="83">
        <v>5438.6</v>
      </c>
    </row>
    <row r="18" spans="1:17" x14ac:dyDescent="0.25">
      <c r="A18" s="19" t="s">
        <v>35</v>
      </c>
      <c r="B18" s="88">
        <v>25</v>
      </c>
      <c r="C18" s="76" t="s">
        <v>25</v>
      </c>
      <c r="D18" s="76">
        <v>2</v>
      </c>
      <c r="E18" s="83">
        <v>0</v>
      </c>
      <c r="F18" s="83">
        <v>0</v>
      </c>
      <c r="G18" s="83">
        <f>F18</f>
        <v>0</v>
      </c>
      <c r="H18" s="115">
        <v>0</v>
      </c>
      <c r="I18" s="83">
        <v>0</v>
      </c>
      <c r="J18" s="83">
        <v>0</v>
      </c>
      <c r="K18" s="83">
        <v>0</v>
      </c>
      <c r="L18" s="83">
        <v>0</v>
      </c>
      <c r="M18" s="83">
        <v>0</v>
      </c>
      <c r="N18" s="83">
        <v>0</v>
      </c>
      <c r="O18" s="83">
        <v>0</v>
      </c>
      <c r="P18" s="83">
        <v>0</v>
      </c>
      <c r="Q18" s="20"/>
    </row>
    <row r="19" spans="1:17" x14ac:dyDescent="0.25">
      <c r="A19" s="19" t="s">
        <v>36</v>
      </c>
      <c r="B19" s="88">
        <v>25</v>
      </c>
      <c r="C19" s="76" t="s">
        <v>25</v>
      </c>
      <c r="D19" s="76">
        <v>2</v>
      </c>
      <c r="E19" s="83">
        <v>0</v>
      </c>
      <c r="F19" s="83">
        <v>0</v>
      </c>
      <c r="G19" s="83">
        <f t="shared" ref="G19:G21" si="7">F19</f>
        <v>0</v>
      </c>
      <c r="H19" s="115">
        <v>0</v>
      </c>
      <c r="I19" s="83">
        <v>0</v>
      </c>
      <c r="J19" s="83">
        <v>0</v>
      </c>
      <c r="K19" s="83">
        <v>0</v>
      </c>
      <c r="L19" s="83">
        <v>0</v>
      </c>
      <c r="M19" s="83">
        <v>0</v>
      </c>
      <c r="N19" s="83">
        <v>0</v>
      </c>
      <c r="O19" s="83">
        <v>0</v>
      </c>
      <c r="P19" s="83">
        <v>0</v>
      </c>
      <c r="Q19" s="20"/>
    </row>
    <row r="20" spans="1:17" x14ac:dyDescent="0.25">
      <c r="A20" s="19" t="s">
        <v>37</v>
      </c>
      <c r="B20" s="88">
        <v>25</v>
      </c>
      <c r="C20" s="76" t="s">
        <v>25</v>
      </c>
      <c r="D20" s="76">
        <v>2</v>
      </c>
      <c r="E20" s="83">
        <v>0</v>
      </c>
      <c r="F20" s="83">
        <v>0</v>
      </c>
      <c r="G20" s="83">
        <f t="shared" si="7"/>
        <v>0</v>
      </c>
      <c r="H20" s="115">
        <v>0</v>
      </c>
      <c r="I20" s="83">
        <v>0</v>
      </c>
      <c r="J20" s="83">
        <v>0</v>
      </c>
      <c r="K20" s="83">
        <v>0</v>
      </c>
      <c r="L20" s="83">
        <v>0</v>
      </c>
      <c r="M20" s="83">
        <v>0</v>
      </c>
      <c r="N20" s="83">
        <v>0</v>
      </c>
      <c r="O20" s="83">
        <v>0</v>
      </c>
      <c r="P20" s="83">
        <v>0</v>
      </c>
    </row>
    <row r="21" spans="1:17" ht="15.75" thickBot="1" x14ac:dyDescent="0.3">
      <c r="A21" s="19" t="s">
        <v>38</v>
      </c>
      <c r="B21" s="88">
        <v>25</v>
      </c>
      <c r="C21" s="76" t="s">
        <v>25</v>
      </c>
      <c r="D21" s="76">
        <v>2</v>
      </c>
      <c r="E21" s="83">
        <v>0</v>
      </c>
      <c r="F21" s="83">
        <v>0</v>
      </c>
      <c r="G21" s="83">
        <f t="shared" si="7"/>
        <v>0</v>
      </c>
      <c r="H21" s="115">
        <v>0</v>
      </c>
      <c r="I21" s="83">
        <v>0</v>
      </c>
      <c r="J21" s="83">
        <v>0</v>
      </c>
      <c r="K21" s="83">
        <v>0</v>
      </c>
      <c r="L21" s="83">
        <v>0</v>
      </c>
      <c r="M21" s="83">
        <v>0</v>
      </c>
      <c r="N21" s="83">
        <v>0</v>
      </c>
      <c r="O21" s="83">
        <v>0</v>
      </c>
      <c r="P21" s="83">
        <v>0</v>
      </c>
    </row>
    <row r="22" spans="1:17" ht="15.75" thickBot="1" x14ac:dyDescent="0.3">
      <c r="A22" s="12"/>
      <c r="B22" s="13"/>
      <c r="C22" s="13"/>
      <c r="D22" s="13"/>
      <c r="E22" s="84">
        <f t="shared" ref="E22:P22" si="8">SUM(E10:E21)</f>
        <v>99100</v>
      </c>
      <c r="F22" s="84">
        <f t="shared" si="8"/>
        <v>99100</v>
      </c>
      <c r="G22" s="84">
        <f t="shared" si="8"/>
        <v>99100</v>
      </c>
      <c r="H22" s="84">
        <f t="shared" si="8"/>
        <v>3022.55</v>
      </c>
      <c r="I22" s="84">
        <f t="shared" si="8"/>
        <v>7928</v>
      </c>
      <c r="J22" s="84">
        <f t="shared" si="8"/>
        <v>0</v>
      </c>
      <c r="K22" s="84">
        <f t="shared" si="8"/>
        <v>2764</v>
      </c>
      <c r="L22" s="84">
        <f t="shared" si="8"/>
        <v>85385.45</v>
      </c>
      <c r="M22" s="84">
        <f t="shared" si="8"/>
        <v>11981.429999999998</v>
      </c>
      <c r="N22" s="84">
        <f t="shared" si="8"/>
        <v>0</v>
      </c>
      <c r="O22" s="84">
        <f t="shared" si="8"/>
        <v>0</v>
      </c>
      <c r="P22" s="85">
        <f t="shared" si="8"/>
        <v>85432.02</v>
      </c>
    </row>
    <row r="23" spans="1:17" x14ac:dyDescent="0.25">
      <c r="N23" s="20"/>
    </row>
    <row r="24" spans="1:17" x14ac:dyDescent="0.25">
      <c r="N24" s="20"/>
    </row>
    <row r="25" spans="1:17" x14ac:dyDescent="0.25">
      <c r="A25" s="154" t="s">
        <v>16</v>
      </c>
      <c r="B25" s="154" t="s">
        <v>17</v>
      </c>
      <c r="C25" s="154" t="s">
        <v>18</v>
      </c>
      <c r="D25" s="154" t="s">
        <v>19</v>
      </c>
      <c r="E25" s="154" t="s">
        <v>20</v>
      </c>
      <c r="F25" s="179" t="s">
        <v>107</v>
      </c>
      <c r="G25" s="154" t="s">
        <v>7</v>
      </c>
      <c r="H25" s="155" t="s">
        <v>22</v>
      </c>
      <c r="I25" s="156"/>
      <c r="J25" s="156"/>
      <c r="K25" s="157"/>
    </row>
    <row r="26" spans="1:17" x14ac:dyDescent="0.25">
      <c r="A26" s="154"/>
      <c r="B26" s="154"/>
      <c r="C26" s="154"/>
      <c r="D26" s="154"/>
      <c r="E26" s="154"/>
      <c r="F26" s="179"/>
      <c r="G26" s="154"/>
      <c r="H26" s="177" t="s">
        <v>9</v>
      </c>
      <c r="I26" s="178"/>
      <c r="J26" s="11" t="s">
        <v>23</v>
      </c>
      <c r="K26" s="103" t="s">
        <v>24</v>
      </c>
    </row>
    <row r="27" spans="1:17" x14ac:dyDescent="0.25">
      <c r="A27" s="1" t="s">
        <v>69</v>
      </c>
      <c r="B27" s="81">
        <v>173</v>
      </c>
      <c r="C27" s="79"/>
      <c r="D27" s="80"/>
      <c r="E27" s="80">
        <v>8</v>
      </c>
      <c r="F27" s="80"/>
      <c r="G27" s="78"/>
      <c r="H27" s="149">
        <f t="shared" ref="H27:H38" si="9">M10</f>
        <v>1728.26</v>
      </c>
      <c r="I27" s="150"/>
      <c r="J27" s="102">
        <f t="shared" ref="J27:J38" si="10">N10</f>
        <v>0</v>
      </c>
      <c r="K27" s="83">
        <f t="shared" ref="K27:K38" si="11">P10</f>
        <v>10131.540000000001</v>
      </c>
    </row>
    <row r="28" spans="1:17" x14ac:dyDescent="0.25">
      <c r="A28" s="2" t="s">
        <v>70</v>
      </c>
      <c r="B28" s="81">
        <v>173</v>
      </c>
      <c r="C28" s="77"/>
      <c r="D28" s="81"/>
      <c r="E28" s="81"/>
      <c r="F28" s="81"/>
      <c r="G28" s="76"/>
      <c r="H28" s="149">
        <f t="shared" si="9"/>
        <v>2155.2199999999998</v>
      </c>
      <c r="I28" s="150"/>
      <c r="J28" s="102">
        <f t="shared" si="10"/>
        <v>0</v>
      </c>
      <c r="K28" s="83">
        <f t="shared" si="11"/>
        <v>17610.87</v>
      </c>
    </row>
    <row r="29" spans="1:17" x14ac:dyDescent="0.25">
      <c r="A29" s="2" t="s">
        <v>71</v>
      </c>
      <c r="B29" s="81">
        <v>173</v>
      </c>
      <c r="C29" s="77"/>
      <c r="D29" s="81"/>
      <c r="E29" s="81"/>
      <c r="F29" s="81"/>
      <c r="G29" s="76"/>
      <c r="H29" s="149">
        <f t="shared" si="9"/>
        <v>2542.15</v>
      </c>
      <c r="I29" s="150"/>
      <c r="J29" s="102">
        <f t="shared" si="10"/>
        <v>0</v>
      </c>
      <c r="K29" s="83">
        <f t="shared" si="11"/>
        <v>14840.2</v>
      </c>
    </row>
    <row r="30" spans="1:17" x14ac:dyDescent="0.25">
      <c r="A30" s="2" t="s">
        <v>72</v>
      </c>
      <c r="B30" s="81">
        <v>173</v>
      </c>
      <c r="C30" s="77"/>
      <c r="D30" s="81"/>
      <c r="E30" s="81">
        <v>8</v>
      </c>
      <c r="F30" s="81"/>
      <c r="G30" s="76"/>
      <c r="H30" s="149">
        <f t="shared" si="9"/>
        <v>1021.1</v>
      </c>
      <c r="I30" s="150"/>
      <c r="J30" s="102">
        <f t="shared" si="10"/>
        <v>0</v>
      </c>
      <c r="K30" s="83">
        <f t="shared" si="11"/>
        <v>12404.88</v>
      </c>
    </row>
    <row r="31" spans="1:17" x14ac:dyDescent="0.25">
      <c r="A31" s="2" t="s">
        <v>71</v>
      </c>
      <c r="B31" s="81">
        <v>173</v>
      </c>
      <c r="C31" s="77"/>
      <c r="D31" s="81"/>
      <c r="E31" s="81">
        <v>32</v>
      </c>
      <c r="F31" s="81"/>
      <c r="G31" s="76"/>
      <c r="H31" s="149">
        <f t="shared" si="9"/>
        <v>3248.9</v>
      </c>
      <c r="I31" s="150"/>
      <c r="J31" s="102">
        <f t="shared" si="10"/>
        <v>0</v>
      </c>
      <c r="K31" s="83">
        <f t="shared" si="11"/>
        <v>10974.45</v>
      </c>
    </row>
    <row r="32" spans="1:17" x14ac:dyDescent="0.25">
      <c r="A32" s="6" t="s">
        <v>69</v>
      </c>
      <c r="B32" s="81">
        <v>173</v>
      </c>
      <c r="C32" s="77"/>
      <c r="D32" s="81"/>
      <c r="E32" s="81">
        <v>8</v>
      </c>
      <c r="F32" s="81"/>
      <c r="G32" s="76"/>
      <c r="H32" s="149" t="str">
        <f t="shared" si="9"/>
        <v>2395,,6</v>
      </c>
      <c r="I32" s="150"/>
      <c r="J32" s="102">
        <f t="shared" si="10"/>
        <v>0</v>
      </c>
      <c r="K32" s="83">
        <f t="shared" si="11"/>
        <v>12090.28</v>
      </c>
    </row>
    <row r="33" spans="1:11" x14ac:dyDescent="0.25">
      <c r="A33" s="6" t="s">
        <v>69</v>
      </c>
      <c r="B33" s="81">
        <v>173</v>
      </c>
      <c r="C33" s="77"/>
      <c r="D33" s="81"/>
      <c r="E33" s="81"/>
      <c r="F33" s="81"/>
      <c r="G33" s="76"/>
      <c r="H33" s="149">
        <f t="shared" si="9"/>
        <v>642.9</v>
      </c>
      <c r="I33" s="150"/>
      <c r="J33" s="102">
        <f t="shared" si="10"/>
        <v>0</v>
      </c>
      <c r="K33" s="83">
        <f t="shared" si="11"/>
        <v>1941.2</v>
      </c>
    </row>
    <row r="34" spans="1:11" x14ac:dyDescent="0.25">
      <c r="A34" s="6" t="s">
        <v>72</v>
      </c>
      <c r="B34" s="81">
        <v>173</v>
      </c>
      <c r="C34" s="77"/>
      <c r="D34" s="81">
        <v>154.66999999999999</v>
      </c>
      <c r="E34" s="81">
        <v>8</v>
      </c>
      <c r="F34" s="81"/>
      <c r="G34" s="76"/>
      <c r="H34" s="149">
        <f t="shared" si="9"/>
        <v>642.9</v>
      </c>
      <c r="I34" s="150"/>
      <c r="J34" s="102">
        <f t="shared" si="10"/>
        <v>0</v>
      </c>
      <c r="K34" s="83">
        <f t="shared" si="11"/>
        <v>5438.6</v>
      </c>
    </row>
    <row r="35" spans="1:11" x14ac:dyDescent="0.25">
      <c r="A35" s="6" t="s">
        <v>73</v>
      </c>
      <c r="B35" s="81" t="s">
        <v>87</v>
      </c>
      <c r="C35" s="77"/>
      <c r="D35" s="81"/>
      <c r="E35" s="81"/>
      <c r="F35" s="81"/>
      <c r="G35" s="76"/>
      <c r="H35" s="149">
        <f t="shared" si="9"/>
        <v>0</v>
      </c>
      <c r="I35" s="150"/>
      <c r="J35" s="102">
        <f t="shared" si="10"/>
        <v>0</v>
      </c>
      <c r="K35" s="83">
        <f t="shared" si="11"/>
        <v>0</v>
      </c>
    </row>
    <row r="36" spans="1:11" x14ac:dyDescent="0.25">
      <c r="A36" s="6" t="s">
        <v>74</v>
      </c>
      <c r="B36" s="81" t="s">
        <v>87</v>
      </c>
      <c r="C36" s="77"/>
      <c r="D36" s="81"/>
      <c r="E36" s="81"/>
      <c r="F36" s="81"/>
      <c r="G36" s="76"/>
      <c r="H36" s="149">
        <f t="shared" si="9"/>
        <v>0</v>
      </c>
      <c r="I36" s="150"/>
      <c r="J36" s="102">
        <f t="shared" si="10"/>
        <v>0</v>
      </c>
      <c r="K36" s="83">
        <f t="shared" si="11"/>
        <v>0</v>
      </c>
    </row>
    <row r="37" spans="1:11" x14ac:dyDescent="0.25">
      <c r="A37" s="6" t="s">
        <v>75</v>
      </c>
      <c r="B37" s="81" t="s">
        <v>87</v>
      </c>
      <c r="C37" s="77"/>
      <c r="D37" s="81"/>
      <c r="E37" s="81"/>
      <c r="F37" s="81"/>
      <c r="G37" s="76"/>
      <c r="H37" s="149">
        <f t="shared" si="9"/>
        <v>0</v>
      </c>
      <c r="I37" s="150"/>
      <c r="J37" s="102">
        <f t="shared" si="10"/>
        <v>0</v>
      </c>
      <c r="K37" s="83">
        <f t="shared" si="11"/>
        <v>0</v>
      </c>
    </row>
    <row r="38" spans="1:11" ht="15.75" thickBot="1" x14ac:dyDescent="0.3">
      <c r="A38" s="6" t="s">
        <v>76</v>
      </c>
      <c r="B38" s="81" t="s">
        <v>87</v>
      </c>
      <c r="C38" s="77"/>
      <c r="D38" s="81"/>
      <c r="E38" s="81"/>
      <c r="F38" s="81"/>
      <c r="G38" s="76"/>
      <c r="H38" s="149">
        <f t="shared" si="9"/>
        <v>0</v>
      </c>
      <c r="I38" s="150"/>
      <c r="J38" s="102">
        <f t="shared" si="10"/>
        <v>0</v>
      </c>
      <c r="K38" s="83">
        <f t="shared" si="11"/>
        <v>0</v>
      </c>
    </row>
    <row r="39" spans="1:11" ht="15.75" thickBot="1" x14ac:dyDescent="0.3">
      <c r="A39" s="72"/>
      <c r="B39" s="86">
        <f>SUM(B27:B38)</f>
        <v>1384</v>
      </c>
      <c r="C39" s="86">
        <f t="shared" ref="C39:H39" si="12">SUM(C27:C38)</f>
        <v>0</v>
      </c>
      <c r="D39" s="86">
        <f t="shared" si="12"/>
        <v>154.66999999999999</v>
      </c>
      <c r="E39" s="86">
        <f t="shared" si="12"/>
        <v>64</v>
      </c>
      <c r="F39" s="86">
        <f t="shared" si="12"/>
        <v>0</v>
      </c>
      <c r="G39" s="86">
        <f t="shared" si="12"/>
        <v>0</v>
      </c>
      <c r="H39" s="151">
        <f t="shared" si="12"/>
        <v>11981.429999999998</v>
      </c>
      <c r="I39" s="152"/>
      <c r="J39" s="84">
        <f>SUM(J27:J38)</f>
        <v>0</v>
      </c>
      <c r="K39" s="85">
        <f>SUM(K27:K38)</f>
        <v>85432.02</v>
      </c>
    </row>
  </sheetData>
  <mergeCells count="40">
    <mergeCell ref="H38:I38"/>
    <mergeCell ref="H39:I39"/>
    <mergeCell ref="L5:N5"/>
    <mergeCell ref="L6:N6"/>
    <mergeCell ref="L7:N7"/>
    <mergeCell ref="H30:I30"/>
    <mergeCell ref="H31:I31"/>
    <mergeCell ref="H32:I32"/>
    <mergeCell ref="H33:I33"/>
    <mergeCell ref="H34:I34"/>
    <mergeCell ref="H35:I35"/>
    <mergeCell ref="H29:I29"/>
    <mergeCell ref="H26:I26"/>
    <mergeCell ref="H27:I27"/>
    <mergeCell ref="H28:I28"/>
    <mergeCell ref="H36:I36"/>
    <mergeCell ref="H37:I37"/>
    <mergeCell ref="L2:N3"/>
    <mergeCell ref="A4:D4"/>
    <mergeCell ref="F25:F26"/>
    <mergeCell ref="A6:D6"/>
    <mergeCell ref="E6:F6"/>
    <mergeCell ref="G6:H6"/>
    <mergeCell ref="A7:D7"/>
    <mergeCell ref="E7:F7"/>
    <mergeCell ref="G7:H7"/>
    <mergeCell ref="A25:A26"/>
    <mergeCell ref="B25:B26"/>
    <mergeCell ref="C25:C26"/>
    <mergeCell ref="D25:D26"/>
    <mergeCell ref="E25:E26"/>
    <mergeCell ref="G25:G26"/>
    <mergeCell ref="B2:B3"/>
    <mergeCell ref="D2:D3"/>
    <mergeCell ref="F2:I3"/>
    <mergeCell ref="H25:K25"/>
    <mergeCell ref="A5:D5"/>
    <mergeCell ref="E5:F5"/>
    <mergeCell ref="G5:H5"/>
    <mergeCell ref="J5:K5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B36448-16DC-4B5E-BAA5-3631687DC174}">
  <dimension ref="A2:Q39"/>
  <sheetViews>
    <sheetView topLeftCell="A4" workbookViewId="0">
      <selection activeCell="A9" sqref="A9:XFD9"/>
    </sheetView>
  </sheetViews>
  <sheetFormatPr defaultColWidth="11.42578125" defaultRowHeight="15" x14ac:dyDescent="0.25"/>
  <cols>
    <col min="1" max="1" width="11.140625" customWidth="1"/>
    <col min="2" max="2" width="12" customWidth="1"/>
    <col min="3" max="16" width="15.140625" customWidth="1"/>
  </cols>
  <sheetData>
    <row r="2" spans="1:16" x14ac:dyDescent="0.25">
      <c r="A2" s="3"/>
      <c r="B2" s="169" t="s">
        <v>0</v>
      </c>
      <c r="C2" s="14"/>
      <c r="D2" s="147">
        <v>2024</v>
      </c>
      <c r="E2" s="14"/>
      <c r="F2" s="169" t="s">
        <v>15</v>
      </c>
      <c r="G2" s="169"/>
      <c r="H2" s="169"/>
      <c r="I2" s="169"/>
      <c r="J2" s="14"/>
      <c r="K2" s="14"/>
      <c r="L2" s="147" t="s">
        <v>101</v>
      </c>
      <c r="M2" s="147"/>
      <c r="N2" s="147"/>
      <c r="O2" s="14"/>
      <c r="P2" s="15"/>
    </row>
    <row r="3" spans="1:16" x14ac:dyDescent="0.25">
      <c r="A3" s="8"/>
      <c r="B3" s="170"/>
      <c r="C3" s="16"/>
      <c r="D3" s="148"/>
      <c r="E3" s="16"/>
      <c r="F3" s="170"/>
      <c r="G3" s="170"/>
      <c r="H3" s="170"/>
      <c r="I3" s="170"/>
      <c r="J3" s="16"/>
      <c r="K3" s="16"/>
      <c r="L3" s="148"/>
      <c r="M3" s="148"/>
      <c r="N3" s="148"/>
      <c r="O3" s="16"/>
      <c r="P3" s="17"/>
    </row>
    <row r="4" spans="1:16" x14ac:dyDescent="0.25">
      <c r="A4" s="171" t="s">
        <v>58</v>
      </c>
      <c r="B4" s="172"/>
      <c r="C4" s="172"/>
      <c r="D4" s="173"/>
      <c r="E4" s="3"/>
      <c r="F4" s="4"/>
      <c r="G4" s="4"/>
      <c r="H4" s="4"/>
      <c r="I4" s="4"/>
      <c r="J4" s="4"/>
      <c r="K4" s="4"/>
      <c r="L4" s="4"/>
      <c r="M4" s="4"/>
      <c r="N4" s="4"/>
      <c r="O4" s="4"/>
      <c r="P4" s="5"/>
    </row>
    <row r="5" spans="1:16" x14ac:dyDescent="0.25">
      <c r="A5" s="174" t="s">
        <v>59</v>
      </c>
      <c r="B5" s="146"/>
      <c r="C5" s="146"/>
      <c r="D5" s="175"/>
      <c r="E5" s="162" t="s">
        <v>12</v>
      </c>
      <c r="F5" s="163"/>
      <c r="G5" s="153">
        <f>G6</f>
        <v>44502</v>
      </c>
      <c r="H5" s="153"/>
      <c r="J5" s="145" t="s">
        <v>87</v>
      </c>
      <c r="K5" s="145"/>
      <c r="L5" s="145" t="s">
        <v>98</v>
      </c>
      <c r="M5" s="145"/>
      <c r="N5" s="145"/>
      <c r="O5" t="s">
        <v>39</v>
      </c>
      <c r="P5" s="124" t="s">
        <v>88</v>
      </c>
    </row>
    <row r="6" spans="1:16" x14ac:dyDescent="0.25">
      <c r="A6" s="174" t="s">
        <v>60</v>
      </c>
      <c r="B6" s="146"/>
      <c r="C6" s="146"/>
      <c r="D6" s="175"/>
      <c r="E6" s="162" t="s">
        <v>13</v>
      </c>
      <c r="F6" s="163"/>
      <c r="G6" s="153">
        <v>44502</v>
      </c>
      <c r="H6" s="153"/>
      <c r="L6" s="146" t="s">
        <v>99</v>
      </c>
      <c r="M6" s="146"/>
      <c r="N6" s="146"/>
      <c r="P6" s="7"/>
    </row>
    <row r="7" spans="1:16" x14ac:dyDescent="0.25">
      <c r="A7" s="166" t="s">
        <v>83</v>
      </c>
      <c r="B7" s="167"/>
      <c r="C7" s="167"/>
      <c r="D7" s="168"/>
      <c r="E7" s="162" t="s">
        <v>14</v>
      </c>
      <c r="F7" s="163"/>
      <c r="G7" s="176"/>
      <c r="H7" s="176"/>
      <c r="L7" s="146" t="s">
        <v>100</v>
      </c>
      <c r="M7" s="146"/>
      <c r="N7" s="146"/>
      <c r="P7" s="7"/>
    </row>
    <row r="8" spans="1:16" x14ac:dyDescent="0.25">
      <c r="A8" s="8"/>
      <c r="B8" s="9"/>
      <c r="C8" s="9"/>
      <c r="D8" s="10"/>
      <c r="E8" s="8"/>
      <c r="F8" s="9"/>
      <c r="G8" s="9"/>
      <c r="H8" s="9"/>
      <c r="I8" s="9"/>
      <c r="J8" s="9"/>
      <c r="K8" s="9"/>
      <c r="L8" s="9"/>
      <c r="M8" s="9"/>
      <c r="N8" s="9"/>
      <c r="O8" s="9"/>
      <c r="P8" s="10"/>
    </row>
    <row r="9" spans="1:16" x14ac:dyDescent="0.25">
      <c r="A9" s="11" t="s">
        <v>1</v>
      </c>
      <c r="B9" s="1" t="s">
        <v>3</v>
      </c>
      <c r="C9" s="122" t="s">
        <v>2</v>
      </c>
      <c r="D9" s="116" t="s">
        <v>26</v>
      </c>
      <c r="E9" s="116" t="s">
        <v>4</v>
      </c>
      <c r="F9" s="116" t="s">
        <v>5</v>
      </c>
      <c r="G9" s="122" t="s">
        <v>6</v>
      </c>
      <c r="H9" s="116" t="s">
        <v>7</v>
      </c>
      <c r="I9" s="116" t="s">
        <v>8</v>
      </c>
      <c r="J9" s="116" t="s">
        <v>114</v>
      </c>
      <c r="K9" s="116" t="s">
        <v>84</v>
      </c>
      <c r="L9" s="116" t="s">
        <v>9</v>
      </c>
      <c r="M9" s="116" t="s">
        <v>10</v>
      </c>
      <c r="N9" s="116" t="s">
        <v>78</v>
      </c>
      <c r="O9" s="116" t="s">
        <v>77</v>
      </c>
      <c r="P9" s="116" t="s">
        <v>11</v>
      </c>
    </row>
    <row r="10" spans="1:16" x14ac:dyDescent="0.25">
      <c r="A10" s="18" t="s">
        <v>27</v>
      </c>
      <c r="B10" s="87">
        <v>25</v>
      </c>
      <c r="C10" s="78" t="s">
        <v>25</v>
      </c>
      <c r="D10" s="78">
        <v>2</v>
      </c>
      <c r="E10" s="82">
        <v>14100</v>
      </c>
      <c r="F10" s="82">
        <v>14100</v>
      </c>
      <c r="G10" s="82">
        <f>F10</f>
        <v>14100</v>
      </c>
      <c r="H10" s="114">
        <f>394.8+35.25</f>
        <v>430.05</v>
      </c>
      <c r="I10" s="82">
        <v>1128</v>
      </c>
      <c r="J10" s="82">
        <v>0</v>
      </c>
      <c r="K10" s="82">
        <v>0</v>
      </c>
      <c r="L10" s="82">
        <v>12541.95</v>
      </c>
      <c r="M10" s="82">
        <v>3148.7</v>
      </c>
      <c r="N10" s="82">
        <v>0</v>
      </c>
      <c r="O10" s="82">
        <v>0</v>
      </c>
      <c r="P10" s="82">
        <v>9148.85</v>
      </c>
    </row>
    <row r="11" spans="1:16" x14ac:dyDescent="0.25">
      <c r="A11" s="19" t="s">
        <v>116</v>
      </c>
      <c r="B11" s="88">
        <v>25</v>
      </c>
      <c r="C11" s="76" t="s">
        <v>25</v>
      </c>
      <c r="D11" s="76">
        <v>2</v>
      </c>
      <c r="E11" s="83">
        <v>9800</v>
      </c>
      <c r="F11" s="83">
        <v>9800</v>
      </c>
      <c r="G11" s="83">
        <f t="shared" ref="G11:G16" si="0">F11</f>
        <v>9800</v>
      </c>
      <c r="H11" s="115">
        <f>274.4+24.5</f>
        <v>298.89999999999998</v>
      </c>
      <c r="I11" s="83">
        <v>784</v>
      </c>
      <c r="J11" s="83">
        <v>0</v>
      </c>
      <c r="K11" s="83">
        <v>0</v>
      </c>
      <c r="L11" s="83">
        <v>8717.1</v>
      </c>
      <c r="M11" s="83">
        <v>1552.6</v>
      </c>
      <c r="N11" s="83">
        <v>0</v>
      </c>
      <c r="O11" s="83">
        <v>0</v>
      </c>
      <c r="P11" s="83">
        <v>7272.28</v>
      </c>
    </row>
    <row r="12" spans="1:16" x14ac:dyDescent="0.25">
      <c r="A12" s="19" t="s">
        <v>29</v>
      </c>
      <c r="B12" s="88">
        <v>25</v>
      </c>
      <c r="C12" s="76" t="s">
        <v>25</v>
      </c>
      <c r="D12" s="76">
        <v>2</v>
      </c>
      <c r="E12" s="83">
        <v>12700</v>
      </c>
      <c r="F12" s="83">
        <v>12700</v>
      </c>
      <c r="G12" s="83">
        <f>F12</f>
        <v>12700</v>
      </c>
      <c r="H12" s="115">
        <f>355.6+31.75</f>
        <v>387.35</v>
      </c>
      <c r="I12" s="83">
        <v>1016</v>
      </c>
      <c r="J12" s="83">
        <v>0</v>
      </c>
      <c r="K12" s="83">
        <v>0</v>
      </c>
      <c r="L12" s="83">
        <v>11296.65</v>
      </c>
      <c r="M12" s="83">
        <v>2629.3</v>
      </c>
      <c r="N12" s="83">
        <v>0</v>
      </c>
      <c r="O12" s="83">
        <v>0</v>
      </c>
      <c r="P12" s="83">
        <v>3407.55</v>
      </c>
    </row>
    <row r="13" spans="1:16" x14ac:dyDescent="0.25">
      <c r="A13" s="19" t="s">
        <v>30</v>
      </c>
      <c r="B13" s="88">
        <v>25</v>
      </c>
      <c r="C13" s="76" t="s">
        <v>25</v>
      </c>
      <c r="D13" s="76">
        <v>2</v>
      </c>
      <c r="E13" s="83">
        <v>8800</v>
      </c>
      <c r="F13" s="83">
        <v>8800</v>
      </c>
      <c r="G13" s="83">
        <f t="shared" si="0"/>
        <v>8800</v>
      </c>
      <c r="H13" s="115">
        <f>246.4+22</f>
        <v>268.39999999999998</v>
      </c>
      <c r="I13" s="83">
        <v>704</v>
      </c>
      <c r="J13" s="83">
        <v>0</v>
      </c>
      <c r="K13" s="83">
        <v>0</v>
      </c>
      <c r="L13" s="83">
        <v>7827.6</v>
      </c>
      <c r="M13" s="83">
        <v>1196.5999999999999</v>
      </c>
      <c r="N13" s="83">
        <v>0</v>
      </c>
      <c r="O13" s="83">
        <v>0</v>
      </c>
      <c r="P13" s="83">
        <v>6460.8</v>
      </c>
    </row>
    <row r="14" spans="1:16" x14ac:dyDescent="0.25">
      <c r="A14" s="19" t="s">
        <v>31</v>
      </c>
      <c r="B14" s="88">
        <v>25</v>
      </c>
      <c r="C14" s="76" t="s">
        <v>25</v>
      </c>
      <c r="D14" s="76">
        <v>2</v>
      </c>
      <c r="E14" s="83">
        <v>9500</v>
      </c>
      <c r="F14" s="83">
        <v>9500</v>
      </c>
      <c r="G14" s="83">
        <f t="shared" si="0"/>
        <v>9500</v>
      </c>
      <c r="H14" s="115">
        <f>266+23.75</f>
        <v>289.75</v>
      </c>
      <c r="I14" s="83">
        <v>760</v>
      </c>
      <c r="J14" s="83">
        <v>0</v>
      </c>
      <c r="K14" s="83">
        <v>0</v>
      </c>
      <c r="L14" s="83">
        <v>8450.25</v>
      </c>
      <c r="M14" s="83">
        <v>1443.1</v>
      </c>
      <c r="N14" s="83">
        <v>0</v>
      </c>
      <c r="O14" s="83">
        <v>0</v>
      </c>
      <c r="P14" s="83">
        <v>6827.15</v>
      </c>
    </row>
    <row r="15" spans="1:16" x14ac:dyDescent="0.25">
      <c r="A15" s="19" t="s">
        <v>32</v>
      </c>
      <c r="B15" s="88">
        <v>25</v>
      </c>
      <c r="C15" s="76" t="s">
        <v>25</v>
      </c>
      <c r="D15" s="76">
        <v>2</v>
      </c>
      <c r="E15" s="83">
        <v>11400</v>
      </c>
      <c r="F15" s="83">
        <v>11400</v>
      </c>
      <c r="G15" s="83">
        <f t="shared" si="0"/>
        <v>11400</v>
      </c>
      <c r="H15" s="115">
        <f>319.2+28.5</f>
        <v>347.7</v>
      </c>
      <c r="I15" s="83">
        <v>912</v>
      </c>
      <c r="J15" s="83">
        <v>0</v>
      </c>
      <c r="K15" s="83">
        <v>0</v>
      </c>
      <c r="L15" s="83">
        <v>10140.299999999999</v>
      </c>
      <c r="M15" s="83">
        <v>2147.1999999999998</v>
      </c>
      <c r="N15" s="83">
        <v>0</v>
      </c>
      <c r="O15" s="83">
        <v>0</v>
      </c>
      <c r="P15" s="83">
        <v>7786.5</v>
      </c>
    </row>
    <row r="16" spans="1:16" x14ac:dyDescent="0.25">
      <c r="A16" s="19" t="s">
        <v>33</v>
      </c>
      <c r="B16" s="88">
        <v>25</v>
      </c>
      <c r="C16" s="76" t="s">
        <v>25</v>
      </c>
      <c r="D16" s="76">
        <v>2</v>
      </c>
      <c r="E16" s="83">
        <v>12600</v>
      </c>
      <c r="F16" s="83">
        <v>12600</v>
      </c>
      <c r="G16" s="83">
        <f t="shared" si="0"/>
        <v>12600</v>
      </c>
      <c r="H16" s="115">
        <f>352.8+31.5</f>
        <v>384.3</v>
      </c>
      <c r="I16" s="83">
        <v>1008</v>
      </c>
      <c r="J16" s="83">
        <v>0</v>
      </c>
      <c r="K16" s="83">
        <v>0</v>
      </c>
      <c r="L16" s="83">
        <v>11207.7</v>
      </c>
      <c r="M16" s="83">
        <v>2591.6999999999998</v>
      </c>
      <c r="N16" s="83">
        <v>0</v>
      </c>
      <c r="O16" s="83">
        <v>0</v>
      </c>
      <c r="P16" s="83">
        <v>8392.6</v>
      </c>
    </row>
    <row r="17" spans="1:17" x14ac:dyDescent="0.25">
      <c r="A17" s="19" t="s">
        <v>34</v>
      </c>
      <c r="B17" s="88">
        <v>25</v>
      </c>
      <c r="C17" s="76" t="s">
        <v>25</v>
      </c>
      <c r="D17" s="76">
        <v>2</v>
      </c>
      <c r="E17" s="83">
        <v>6900</v>
      </c>
      <c r="F17" s="83">
        <v>6900</v>
      </c>
      <c r="G17" s="83">
        <f>F17</f>
        <v>6900</v>
      </c>
      <c r="H17" s="115">
        <f>193.2+17.25</f>
        <v>210.45</v>
      </c>
      <c r="I17" s="83">
        <v>552</v>
      </c>
      <c r="J17" s="83">
        <v>0</v>
      </c>
      <c r="K17" s="83">
        <v>0</v>
      </c>
      <c r="L17" s="83">
        <v>6137.55</v>
      </c>
      <c r="M17" s="83">
        <v>649.9</v>
      </c>
      <c r="N17" s="83">
        <v>0</v>
      </c>
      <c r="O17" s="83">
        <v>0</v>
      </c>
      <c r="P17" s="83">
        <v>5344.05</v>
      </c>
    </row>
    <row r="18" spans="1:17" x14ac:dyDescent="0.25">
      <c r="A18" s="19" t="s">
        <v>35</v>
      </c>
      <c r="B18" s="88">
        <v>25</v>
      </c>
      <c r="C18" s="76" t="s">
        <v>25</v>
      </c>
      <c r="D18" s="76">
        <v>2</v>
      </c>
      <c r="E18" s="83">
        <v>10800</v>
      </c>
      <c r="F18" s="83">
        <v>10800</v>
      </c>
      <c r="G18" s="83">
        <f t="shared" ref="G18:G19" si="1">F18</f>
        <v>10800</v>
      </c>
      <c r="H18" s="115">
        <f>302.4+27</f>
        <v>329.4</v>
      </c>
      <c r="I18" s="83">
        <v>864</v>
      </c>
      <c r="J18" s="83">
        <v>0</v>
      </c>
      <c r="K18" s="83">
        <v>0</v>
      </c>
      <c r="L18" s="83">
        <v>9606.6</v>
      </c>
      <c r="M18" s="83">
        <v>1924</v>
      </c>
      <c r="N18" s="83">
        <v>0</v>
      </c>
      <c r="O18" s="83">
        <v>0</v>
      </c>
      <c r="P18" s="83">
        <v>7484.4</v>
      </c>
      <c r="Q18" s="20"/>
    </row>
    <row r="19" spans="1:17" x14ac:dyDescent="0.25">
      <c r="A19" s="19" t="s">
        <v>36</v>
      </c>
      <c r="B19" s="88">
        <v>25</v>
      </c>
      <c r="C19" s="76" t="s">
        <v>25</v>
      </c>
      <c r="D19" s="76">
        <v>2</v>
      </c>
      <c r="E19" s="83">
        <v>11000</v>
      </c>
      <c r="F19" s="83">
        <v>11000</v>
      </c>
      <c r="G19" s="83">
        <f t="shared" si="1"/>
        <v>11000</v>
      </c>
      <c r="H19" s="115">
        <f>308+27.5</f>
        <v>335.5</v>
      </c>
      <c r="I19" s="83">
        <v>880</v>
      </c>
      <c r="J19" s="83">
        <v>0</v>
      </c>
      <c r="K19" s="83">
        <v>0</v>
      </c>
      <c r="L19" s="83">
        <v>9784.5</v>
      </c>
      <c r="M19" s="83">
        <v>1997</v>
      </c>
      <c r="N19" s="83">
        <v>0</v>
      </c>
      <c r="O19" s="83">
        <v>0</v>
      </c>
      <c r="P19" s="83">
        <v>7922.6</v>
      </c>
      <c r="Q19" s="20"/>
    </row>
    <row r="20" spans="1:17" x14ac:dyDescent="0.25">
      <c r="A20" s="19" t="s">
        <v>37</v>
      </c>
      <c r="B20" s="88">
        <v>25</v>
      </c>
      <c r="C20" s="76" t="s">
        <v>25</v>
      </c>
      <c r="D20" s="76">
        <v>2</v>
      </c>
      <c r="E20" s="83">
        <v>9200</v>
      </c>
      <c r="F20" s="83">
        <v>9200</v>
      </c>
      <c r="G20" s="83">
        <f t="shared" ref="G20:G21" si="2">F20</f>
        <v>9200</v>
      </c>
      <c r="H20" s="115">
        <f>257.6+23</f>
        <v>280.60000000000002</v>
      </c>
      <c r="I20" s="83">
        <v>736</v>
      </c>
      <c r="J20" s="83">
        <v>0</v>
      </c>
      <c r="K20" s="83">
        <v>0</v>
      </c>
      <c r="L20" s="83">
        <v>8183.4</v>
      </c>
      <c r="M20" s="83">
        <v>1333.3</v>
      </c>
      <c r="N20" s="83">
        <v>0</v>
      </c>
      <c r="O20" s="83">
        <v>0</v>
      </c>
      <c r="P20" s="83">
        <v>6674.3</v>
      </c>
    </row>
    <row r="21" spans="1:17" ht="15.75" thickBot="1" x14ac:dyDescent="0.3">
      <c r="A21" s="19" t="s">
        <v>38</v>
      </c>
      <c r="B21" s="88">
        <v>25</v>
      </c>
      <c r="C21" s="76" t="s">
        <v>25</v>
      </c>
      <c r="D21" s="76">
        <v>2</v>
      </c>
      <c r="E21" s="83">
        <v>7300</v>
      </c>
      <c r="F21" s="83">
        <v>7300</v>
      </c>
      <c r="G21" s="83">
        <f t="shared" si="2"/>
        <v>7300</v>
      </c>
      <c r="H21" s="115">
        <f>204.4+18.25</f>
        <v>222.65</v>
      </c>
      <c r="I21" s="83">
        <v>584</v>
      </c>
      <c r="J21" s="83">
        <v>0</v>
      </c>
      <c r="K21" s="83">
        <v>0</v>
      </c>
      <c r="L21" s="83">
        <v>6493.35</v>
      </c>
      <c r="M21" s="83">
        <v>750.8</v>
      </c>
      <c r="N21" s="83">
        <v>0</v>
      </c>
      <c r="O21" s="83">
        <v>0</v>
      </c>
      <c r="P21" s="83">
        <v>5891.23</v>
      </c>
    </row>
    <row r="22" spans="1:17" ht="15.75" thickBot="1" x14ac:dyDescent="0.3">
      <c r="A22" s="12"/>
      <c r="B22" s="13"/>
      <c r="C22" s="13"/>
      <c r="D22" s="13"/>
      <c r="E22" s="84">
        <f t="shared" ref="E22:P22" si="3">SUM(E10:E21)</f>
        <v>124100</v>
      </c>
      <c r="F22" s="84">
        <f t="shared" si="3"/>
        <v>124100</v>
      </c>
      <c r="G22" s="84">
        <f t="shared" si="3"/>
        <v>124100</v>
      </c>
      <c r="H22" s="84">
        <f t="shared" si="3"/>
        <v>3785.05</v>
      </c>
      <c r="I22" s="84">
        <f t="shared" si="3"/>
        <v>9928</v>
      </c>
      <c r="J22" s="84">
        <f t="shared" si="3"/>
        <v>0</v>
      </c>
      <c r="K22" s="84">
        <f t="shared" si="3"/>
        <v>0</v>
      </c>
      <c r="L22" s="84">
        <f t="shared" si="3"/>
        <v>110386.95000000001</v>
      </c>
      <c r="M22" s="84">
        <f t="shared" si="3"/>
        <v>21364.199999999997</v>
      </c>
      <c r="N22" s="84">
        <f t="shared" si="3"/>
        <v>0</v>
      </c>
      <c r="O22" s="84">
        <f t="shared" si="3"/>
        <v>0</v>
      </c>
      <c r="P22" s="85">
        <f t="shared" si="3"/>
        <v>82612.31</v>
      </c>
    </row>
    <row r="23" spans="1:17" x14ac:dyDescent="0.25">
      <c r="N23" s="20"/>
    </row>
    <row r="24" spans="1:17" x14ac:dyDescent="0.25">
      <c r="N24" s="20"/>
    </row>
    <row r="25" spans="1:17" x14ac:dyDescent="0.25">
      <c r="A25" s="154" t="s">
        <v>16</v>
      </c>
      <c r="B25" s="154" t="s">
        <v>17</v>
      </c>
      <c r="C25" s="154" t="s">
        <v>18</v>
      </c>
      <c r="D25" s="154" t="s">
        <v>19</v>
      </c>
      <c r="E25" s="154" t="s">
        <v>20</v>
      </c>
      <c r="F25" s="154" t="s">
        <v>21</v>
      </c>
      <c r="G25" s="154" t="s">
        <v>7</v>
      </c>
      <c r="H25" s="155" t="s">
        <v>22</v>
      </c>
      <c r="I25" s="156"/>
      <c r="J25" s="156"/>
      <c r="K25" s="157"/>
    </row>
    <row r="26" spans="1:17" x14ac:dyDescent="0.25">
      <c r="A26" s="154"/>
      <c r="B26" s="154"/>
      <c r="C26" s="154"/>
      <c r="D26" s="154"/>
      <c r="E26" s="154"/>
      <c r="F26" s="154"/>
      <c r="G26" s="154"/>
      <c r="H26" s="177" t="s">
        <v>9</v>
      </c>
      <c r="I26" s="178"/>
      <c r="J26" s="11" t="s">
        <v>23</v>
      </c>
      <c r="K26" s="103" t="s">
        <v>24</v>
      </c>
    </row>
    <row r="27" spans="1:17" x14ac:dyDescent="0.25">
      <c r="A27" s="1" t="s">
        <v>69</v>
      </c>
      <c r="B27" s="81">
        <v>173</v>
      </c>
      <c r="C27" s="79"/>
      <c r="D27" s="80"/>
      <c r="E27" s="80">
        <v>8</v>
      </c>
      <c r="F27" s="80"/>
      <c r="G27" s="78"/>
      <c r="H27" s="149">
        <f t="shared" ref="H27:H38" si="4">M10</f>
        <v>3148.7</v>
      </c>
      <c r="I27" s="150"/>
      <c r="J27" s="102">
        <f t="shared" ref="J27:J38" si="5">N10</f>
        <v>0</v>
      </c>
      <c r="K27" s="83">
        <f t="shared" ref="K27:K38" si="6">P10</f>
        <v>9148.85</v>
      </c>
    </row>
    <row r="28" spans="1:17" x14ac:dyDescent="0.25">
      <c r="A28" s="2" t="s">
        <v>70</v>
      </c>
      <c r="B28" s="81">
        <v>173</v>
      </c>
      <c r="C28" s="77"/>
      <c r="D28" s="81"/>
      <c r="E28" s="81"/>
      <c r="F28" s="81"/>
      <c r="G28" s="76"/>
      <c r="H28" s="149">
        <f t="shared" si="4"/>
        <v>1552.6</v>
      </c>
      <c r="I28" s="150"/>
      <c r="J28" s="102">
        <f t="shared" si="5"/>
        <v>0</v>
      </c>
      <c r="K28" s="83">
        <f t="shared" si="6"/>
        <v>7272.28</v>
      </c>
    </row>
    <row r="29" spans="1:17" x14ac:dyDescent="0.25">
      <c r="A29" s="2" t="s">
        <v>71</v>
      </c>
      <c r="B29" s="81">
        <v>173</v>
      </c>
      <c r="C29" s="77"/>
      <c r="D29" s="81"/>
      <c r="E29" s="81"/>
      <c r="F29" s="81"/>
      <c r="G29" s="76"/>
      <c r="H29" s="149">
        <f t="shared" si="4"/>
        <v>2629.3</v>
      </c>
      <c r="I29" s="150"/>
      <c r="J29" s="102">
        <f t="shared" si="5"/>
        <v>0</v>
      </c>
      <c r="K29" s="83">
        <f t="shared" si="6"/>
        <v>3407.55</v>
      </c>
    </row>
    <row r="30" spans="1:17" x14ac:dyDescent="0.25">
      <c r="A30" s="2" t="s">
        <v>72</v>
      </c>
      <c r="B30" s="81">
        <v>173</v>
      </c>
      <c r="C30" s="77"/>
      <c r="D30" s="81"/>
      <c r="E30" s="81">
        <v>8</v>
      </c>
      <c r="F30" s="81"/>
      <c r="G30" s="76"/>
      <c r="H30" s="149">
        <f t="shared" si="4"/>
        <v>1196.5999999999999</v>
      </c>
      <c r="I30" s="150"/>
      <c r="J30" s="102">
        <f t="shared" si="5"/>
        <v>0</v>
      </c>
      <c r="K30" s="83">
        <f t="shared" si="6"/>
        <v>6460.8</v>
      </c>
    </row>
    <row r="31" spans="1:17" x14ac:dyDescent="0.25">
      <c r="A31" s="2" t="s">
        <v>71</v>
      </c>
      <c r="B31" s="81">
        <v>173</v>
      </c>
      <c r="C31" s="77"/>
      <c r="D31" s="81"/>
      <c r="E31" s="81">
        <v>32</v>
      </c>
      <c r="F31" s="81"/>
      <c r="G31" s="76"/>
      <c r="H31" s="149">
        <f t="shared" si="4"/>
        <v>1443.1</v>
      </c>
      <c r="I31" s="150"/>
      <c r="J31" s="102">
        <f t="shared" si="5"/>
        <v>0</v>
      </c>
      <c r="K31" s="83">
        <f t="shared" si="6"/>
        <v>6827.15</v>
      </c>
    </row>
    <row r="32" spans="1:17" x14ac:dyDescent="0.25">
      <c r="A32" s="6" t="s">
        <v>69</v>
      </c>
      <c r="B32" s="81">
        <v>173</v>
      </c>
      <c r="C32" s="77"/>
      <c r="D32" s="81"/>
      <c r="E32" s="81">
        <v>8</v>
      </c>
      <c r="F32" s="81"/>
      <c r="G32" s="76"/>
      <c r="H32" s="149">
        <f t="shared" si="4"/>
        <v>2147.1999999999998</v>
      </c>
      <c r="I32" s="150"/>
      <c r="J32" s="102">
        <f t="shared" si="5"/>
        <v>0</v>
      </c>
      <c r="K32" s="83">
        <f t="shared" si="6"/>
        <v>7786.5</v>
      </c>
    </row>
    <row r="33" spans="1:11" x14ac:dyDescent="0.25">
      <c r="A33" s="6" t="s">
        <v>69</v>
      </c>
      <c r="B33" s="81">
        <v>173</v>
      </c>
      <c r="C33" s="77"/>
      <c r="D33" s="81"/>
      <c r="E33" s="81"/>
      <c r="F33" s="81"/>
      <c r="G33" s="76"/>
      <c r="H33" s="149">
        <f t="shared" si="4"/>
        <v>2591.6999999999998</v>
      </c>
      <c r="I33" s="150"/>
      <c r="J33" s="102">
        <f t="shared" si="5"/>
        <v>0</v>
      </c>
      <c r="K33" s="83">
        <f t="shared" si="6"/>
        <v>8392.6</v>
      </c>
    </row>
    <row r="34" spans="1:11" x14ac:dyDescent="0.25">
      <c r="A34" s="6" t="s">
        <v>72</v>
      </c>
      <c r="B34" s="81">
        <v>173</v>
      </c>
      <c r="C34" s="77"/>
      <c r="D34" s="81"/>
      <c r="E34" s="81">
        <v>8</v>
      </c>
      <c r="F34" s="81"/>
      <c r="G34" s="76"/>
      <c r="H34" s="149">
        <f t="shared" si="4"/>
        <v>649.9</v>
      </c>
      <c r="I34" s="150"/>
      <c r="J34" s="102">
        <f t="shared" si="5"/>
        <v>0</v>
      </c>
      <c r="K34" s="83">
        <f t="shared" si="6"/>
        <v>5344.05</v>
      </c>
    </row>
    <row r="35" spans="1:11" x14ac:dyDescent="0.25">
      <c r="A35" s="6" t="s">
        <v>73</v>
      </c>
      <c r="B35" s="81">
        <v>173</v>
      </c>
      <c r="C35" s="77"/>
      <c r="D35" s="81"/>
      <c r="E35" s="81"/>
      <c r="F35" s="81"/>
      <c r="G35" s="76"/>
      <c r="H35" s="149">
        <f t="shared" si="4"/>
        <v>1924</v>
      </c>
      <c r="I35" s="150"/>
      <c r="J35" s="102">
        <f t="shared" si="5"/>
        <v>0</v>
      </c>
      <c r="K35" s="83">
        <f t="shared" si="6"/>
        <v>7484.4</v>
      </c>
    </row>
    <row r="36" spans="1:11" x14ac:dyDescent="0.25">
      <c r="A36" s="6" t="s">
        <v>74</v>
      </c>
      <c r="B36" s="81">
        <v>173</v>
      </c>
      <c r="C36" s="77"/>
      <c r="D36" s="81"/>
      <c r="E36" s="81"/>
      <c r="F36" s="81"/>
      <c r="G36" s="76"/>
      <c r="H36" s="149">
        <f t="shared" si="4"/>
        <v>1997</v>
      </c>
      <c r="I36" s="150"/>
      <c r="J36" s="102">
        <f t="shared" si="5"/>
        <v>0</v>
      </c>
      <c r="K36" s="83">
        <f t="shared" si="6"/>
        <v>7922.6</v>
      </c>
    </row>
    <row r="37" spans="1:11" x14ac:dyDescent="0.25">
      <c r="A37" s="6" t="s">
        <v>75</v>
      </c>
      <c r="B37" s="81">
        <v>173</v>
      </c>
      <c r="C37" s="77"/>
      <c r="D37" s="81"/>
      <c r="E37" s="81">
        <v>8</v>
      </c>
      <c r="F37" s="81"/>
      <c r="G37" s="76"/>
      <c r="H37" s="149">
        <f t="shared" si="4"/>
        <v>1333.3</v>
      </c>
      <c r="I37" s="150"/>
      <c r="J37" s="102">
        <f t="shared" si="5"/>
        <v>0</v>
      </c>
      <c r="K37" s="83">
        <f t="shared" si="6"/>
        <v>6674.3</v>
      </c>
    </row>
    <row r="38" spans="1:11" ht="15.75" thickBot="1" x14ac:dyDescent="0.3">
      <c r="A38" s="6" t="s">
        <v>76</v>
      </c>
      <c r="B38" s="81">
        <v>173</v>
      </c>
      <c r="C38" s="77"/>
      <c r="D38" s="81"/>
      <c r="E38" s="81">
        <v>16</v>
      </c>
      <c r="F38" s="81"/>
      <c r="G38" s="76"/>
      <c r="H38" s="149">
        <f t="shared" si="4"/>
        <v>750.8</v>
      </c>
      <c r="I38" s="150"/>
      <c r="J38" s="102">
        <f t="shared" si="5"/>
        <v>0</v>
      </c>
      <c r="K38" s="83">
        <f t="shared" si="6"/>
        <v>5891.23</v>
      </c>
    </row>
    <row r="39" spans="1:11" ht="15.75" thickBot="1" x14ac:dyDescent="0.3">
      <c r="A39" s="72"/>
      <c r="B39" s="86">
        <f>SUM(B27:B38)</f>
        <v>2076</v>
      </c>
      <c r="C39" s="86">
        <f t="shared" ref="C39:H39" si="7">SUM(C27:C38)</f>
        <v>0</v>
      </c>
      <c r="D39" s="86">
        <f t="shared" si="7"/>
        <v>0</v>
      </c>
      <c r="E39" s="86">
        <f t="shared" si="7"/>
        <v>88</v>
      </c>
      <c r="F39" s="86">
        <f t="shared" si="7"/>
        <v>0</v>
      </c>
      <c r="G39" s="86">
        <f t="shared" si="7"/>
        <v>0</v>
      </c>
      <c r="H39" s="151">
        <f t="shared" si="7"/>
        <v>21364.199999999997</v>
      </c>
      <c r="I39" s="152"/>
      <c r="J39" s="84">
        <f>SUM(J27:J38)</f>
        <v>0</v>
      </c>
      <c r="K39" s="85">
        <f>SUM(K27:K38)</f>
        <v>82612.31</v>
      </c>
    </row>
  </sheetData>
  <mergeCells count="40">
    <mergeCell ref="H38:I38"/>
    <mergeCell ref="H39:I39"/>
    <mergeCell ref="L5:N5"/>
    <mergeCell ref="L6:N6"/>
    <mergeCell ref="L7:N7"/>
    <mergeCell ref="H30:I30"/>
    <mergeCell ref="H31:I31"/>
    <mergeCell ref="H32:I32"/>
    <mergeCell ref="H33:I33"/>
    <mergeCell ref="H34:I34"/>
    <mergeCell ref="H35:I35"/>
    <mergeCell ref="H29:I29"/>
    <mergeCell ref="H26:I26"/>
    <mergeCell ref="H27:I27"/>
    <mergeCell ref="H28:I28"/>
    <mergeCell ref="H36:I36"/>
    <mergeCell ref="H37:I37"/>
    <mergeCell ref="L2:N3"/>
    <mergeCell ref="A4:D4"/>
    <mergeCell ref="F25:F26"/>
    <mergeCell ref="A6:D6"/>
    <mergeCell ref="E6:F6"/>
    <mergeCell ref="G6:H6"/>
    <mergeCell ref="A7:D7"/>
    <mergeCell ref="E7:F7"/>
    <mergeCell ref="G7:H7"/>
    <mergeCell ref="A25:A26"/>
    <mergeCell ref="B25:B26"/>
    <mergeCell ref="C25:C26"/>
    <mergeCell ref="D25:D26"/>
    <mergeCell ref="E25:E26"/>
    <mergeCell ref="G25:G26"/>
    <mergeCell ref="B2:B3"/>
    <mergeCell ref="D2:D3"/>
    <mergeCell ref="F2:I3"/>
    <mergeCell ref="H25:K25"/>
    <mergeCell ref="A5:D5"/>
    <mergeCell ref="E5:F5"/>
    <mergeCell ref="G5:H5"/>
    <mergeCell ref="J5:K5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3F450F-E07B-40E3-A6E3-0BEA118E94D8}">
  <dimension ref="A2:Q39"/>
  <sheetViews>
    <sheetView topLeftCell="A4" workbookViewId="0">
      <selection activeCell="E10" sqref="E10:J21"/>
    </sheetView>
  </sheetViews>
  <sheetFormatPr defaultColWidth="11.42578125" defaultRowHeight="15" x14ac:dyDescent="0.25"/>
  <cols>
    <col min="1" max="1" width="11.140625" customWidth="1"/>
    <col min="2" max="2" width="12" customWidth="1"/>
    <col min="3" max="16" width="15.140625" customWidth="1"/>
  </cols>
  <sheetData>
    <row r="2" spans="1:16" x14ac:dyDescent="0.25">
      <c r="A2" s="3"/>
      <c r="B2" s="169" t="s">
        <v>0</v>
      </c>
      <c r="C2" s="14"/>
      <c r="D2" s="147">
        <v>2024</v>
      </c>
      <c r="E2" s="14"/>
      <c r="F2" s="169" t="s">
        <v>15</v>
      </c>
      <c r="G2" s="169"/>
      <c r="H2" s="169"/>
      <c r="I2" s="169"/>
      <c r="J2" s="14"/>
      <c r="K2" s="14"/>
      <c r="L2" s="147" t="s">
        <v>108</v>
      </c>
      <c r="M2" s="147"/>
      <c r="N2" s="147"/>
      <c r="O2" s="14"/>
      <c r="P2" s="15"/>
    </row>
    <row r="3" spans="1:16" x14ac:dyDescent="0.25">
      <c r="A3" s="8"/>
      <c r="B3" s="170"/>
      <c r="C3" s="16"/>
      <c r="D3" s="148"/>
      <c r="E3" s="16"/>
      <c r="F3" s="170"/>
      <c r="G3" s="170"/>
      <c r="H3" s="170"/>
      <c r="I3" s="170"/>
      <c r="J3" s="16"/>
      <c r="K3" s="16"/>
      <c r="L3" s="148"/>
      <c r="M3" s="148"/>
      <c r="N3" s="148"/>
      <c r="O3" s="16"/>
      <c r="P3" s="17"/>
    </row>
    <row r="4" spans="1:16" x14ac:dyDescent="0.25">
      <c r="A4" s="171" t="s">
        <v>58</v>
      </c>
      <c r="B4" s="172"/>
      <c r="C4" s="172"/>
      <c r="D4" s="173"/>
      <c r="E4" s="3"/>
      <c r="F4" s="4"/>
      <c r="G4" s="4"/>
      <c r="H4" s="4"/>
      <c r="I4" s="4"/>
      <c r="J4" s="4"/>
      <c r="K4" s="4"/>
      <c r="L4" s="4"/>
      <c r="M4" s="4"/>
      <c r="N4" s="4"/>
      <c r="O4" s="4"/>
      <c r="P4" s="5"/>
    </row>
    <row r="5" spans="1:16" x14ac:dyDescent="0.25">
      <c r="A5" s="174" t="s">
        <v>59</v>
      </c>
      <c r="B5" s="146"/>
      <c r="C5" s="146"/>
      <c r="D5" s="175"/>
      <c r="E5" s="162" t="s">
        <v>12</v>
      </c>
      <c r="F5" s="163"/>
      <c r="G5" s="153">
        <f>G6</f>
        <v>45173</v>
      </c>
      <c r="H5" s="153"/>
      <c r="J5" s="145" t="s">
        <v>112</v>
      </c>
      <c r="K5" s="145"/>
      <c r="L5" s="145" t="s">
        <v>109</v>
      </c>
      <c r="M5" s="145"/>
      <c r="N5" s="145"/>
      <c r="O5" t="s">
        <v>39</v>
      </c>
      <c r="P5" s="124" t="s">
        <v>81</v>
      </c>
    </row>
    <row r="6" spans="1:16" x14ac:dyDescent="0.25">
      <c r="A6" s="174" t="s">
        <v>60</v>
      </c>
      <c r="B6" s="146"/>
      <c r="C6" s="146"/>
      <c r="D6" s="175"/>
      <c r="E6" s="162" t="s">
        <v>13</v>
      </c>
      <c r="F6" s="163"/>
      <c r="G6" s="153">
        <v>45173</v>
      </c>
      <c r="H6" s="153"/>
      <c r="L6" s="146" t="s">
        <v>110</v>
      </c>
      <c r="M6" s="146"/>
      <c r="N6" s="146"/>
      <c r="P6" s="7"/>
    </row>
    <row r="7" spans="1:16" x14ac:dyDescent="0.25">
      <c r="A7" s="166" t="s">
        <v>83</v>
      </c>
      <c r="B7" s="167"/>
      <c r="C7" s="167"/>
      <c r="D7" s="168"/>
      <c r="E7" s="162" t="s">
        <v>14</v>
      </c>
      <c r="F7" s="163"/>
      <c r="G7" s="176"/>
      <c r="H7" s="176"/>
      <c r="L7" s="146" t="s">
        <v>111</v>
      </c>
      <c r="M7" s="146"/>
      <c r="N7" s="146"/>
      <c r="P7" s="7"/>
    </row>
    <row r="8" spans="1:16" x14ac:dyDescent="0.25">
      <c r="A8" s="8"/>
      <c r="B8" s="9"/>
      <c r="C8" s="9"/>
      <c r="D8" s="10"/>
      <c r="E8" s="8"/>
      <c r="F8" s="9"/>
      <c r="G8" s="9"/>
      <c r="H8" s="9"/>
      <c r="I8" s="9"/>
      <c r="J8" s="9"/>
      <c r="K8" s="9"/>
      <c r="L8" s="9"/>
      <c r="M8" s="9"/>
      <c r="N8" s="9"/>
      <c r="O8" s="9"/>
      <c r="P8" s="10"/>
    </row>
    <row r="9" spans="1:16" x14ac:dyDescent="0.25">
      <c r="A9" s="11" t="s">
        <v>1</v>
      </c>
      <c r="B9" s="1" t="s">
        <v>3</v>
      </c>
      <c r="C9" s="122" t="s">
        <v>2</v>
      </c>
      <c r="D9" s="116" t="s">
        <v>26</v>
      </c>
      <c r="E9" s="116" t="s">
        <v>4</v>
      </c>
      <c r="F9" s="116" t="s">
        <v>5</v>
      </c>
      <c r="G9" s="116" t="s">
        <v>6</v>
      </c>
      <c r="H9" s="116" t="s">
        <v>7</v>
      </c>
      <c r="I9" s="116" t="s">
        <v>8</v>
      </c>
      <c r="J9" s="116" t="s">
        <v>114</v>
      </c>
      <c r="K9" s="116" t="s">
        <v>84</v>
      </c>
      <c r="L9" s="116" t="s">
        <v>9</v>
      </c>
      <c r="M9" s="116" t="s">
        <v>10</v>
      </c>
      <c r="N9" s="116" t="s">
        <v>78</v>
      </c>
      <c r="O9" s="116" t="s">
        <v>77</v>
      </c>
      <c r="P9" s="116" t="s">
        <v>11</v>
      </c>
    </row>
    <row r="10" spans="1:16" x14ac:dyDescent="0.25">
      <c r="A10" s="18" t="s">
        <v>27</v>
      </c>
      <c r="B10" s="87">
        <v>25</v>
      </c>
      <c r="C10" s="78" t="s">
        <v>25</v>
      </c>
      <c r="D10" s="78">
        <v>1</v>
      </c>
      <c r="E10" s="83">
        <v>2570.9299999999998</v>
      </c>
      <c r="F10" s="83">
        <v>2570.9299999999998</v>
      </c>
      <c r="G10" s="83">
        <f t="shared" ref="G10:G17" si="0">F10</f>
        <v>2570.9299999999998</v>
      </c>
      <c r="H10" s="115">
        <f t="shared" ref="H10:H17" si="1">71.99+6.43</f>
        <v>78.419999999999987</v>
      </c>
      <c r="I10" s="83">
        <v>205.67</v>
      </c>
      <c r="J10" s="82">
        <v>14</v>
      </c>
      <c r="K10" s="82">
        <v>74.25</v>
      </c>
      <c r="L10" s="83">
        <v>2212.59</v>
      </c>
      <c r="M10" s="82">
        <v>135.80000000000001</v>
      </c>
      <c r="N10" s="82">
        <v>50</v>
      </c>
      <c r="O10" s="83">
        <v>70</v>
      </c>
      <c r="P10" s="82">
        <v>2640.04</v>
      </c>
    </row>
    <row r="11" spans="1:16" x14ac:dyDescent="0.25">
      <c r="A11" s="19" t="s">
        <v>116</v>
      </c>
      <c r="B11" s="88">
        <v>25</v>
      </c>
      <c r="C11" s="76" t="s">
        <v>25</v>
      </c>
      <c r="D11" s="76">
        <v>1</v>
      </c>
      <c r="E11" s="83">
        <v>2570.9299999999998</v>
      </c>
      <c r="F11" s="83">
        <v>2570.9299999999998</v>
      </c>
      <c r="G11" s="83">
        <f t="shared" si="0"/>
        <v>2570.9299999999998</v>
      </c>
      <c r="H11" s="115">
        <f t="shared" si="1"/>
        <v>78.419999999999987</v>
      </c>
      <c r="I11" s="83">
        <v>205.67</v>
      </c>
      <c r="J11" s="83">
        <v>14</v>
      </c>
      <c r="K11" s="83">
        <v>74.25</v>
      </c>
      <c r="L11" s="83">
        <v>2212.59</v>
      </c>
      <c r="M11" s="83">
        <v>127.1</v>
      </c>
      <c r="N11" s="83">
        <v>50</v>
      </c>
      <c r="O11" s="83">
        <v>70</v>
      </c>
      <c r="P11" s="83">
        <v>2539.7399999999998</v>
      </c>
    </row>
    <row r="12" spans="1:16" x14ac:dyDescent="0.25">
      <c r="A12" s="19" t="s">
        <v>29</v>
      </c>
      <c r="B12" s="88">
        <v>25</v>
      </c>
      <c r="C12" s="76" t="s">
        <v>25</v>
      </c>
      <c r="D12" s="76">
        <v>1</v>
      </c>
      <c r="E12" s="83">
        <v>2570.9299999999998</v>
      </c>
      <c r="F12" s="83">
        <v>2570.9299999999998</v>
      </c>
      <c r="G12" s="83">
        <f t="shared" si="0"/>
        <v>2570.9299999999998</v>
      </c>
      <c r="H12" s="115">
        <f t="shared" si="1"/>
        <v>78.419999999999987</v>
      </c>
      <c r="I12" s="83">
        <v>205.67</v>
      </c>
      <c r="J12" s="83">
        <v>14</v>
      </c>
      <c r="K12" s="83">
        <v>74.25</v>
      </c>
      <c r="L12" s="83">
        <v>2212.59</v>
      </c>
      <c r="M12" s="83">
        <v>127.1</v>
      </c>
      <c r="N12" s="83">
        <v>50</v>
      </c>
      <c r="O12" s="83">
        <v>70</v>
      </c>
      <c r="P12" s="83">
        <v>2533.7399999999998</v>
      </c>
    </row>
    <row r="13" spans="1:16" x14ac:dyDescent="0.25">
      <c r="A13" s="19" t="s">
        <v>30</v>
      </c>
      <c r="B13" s="88">
        <v>25</v>
      </c>
      <c r="C13" s="76" t="s">
        <v>25</v>
      </c>
      <c r="D13" s="76">
        <v>1</v>
      </c>
      <c r="E13" s="83">
        <v>2570.9299999999998</v>
      </c>
      <c r="F13" s="83">
        <v>2570.9299999999998</v>
      </c>
      <c r="G13" s="83">
        <f t="shared" si="0"/>
        <v>2570.9299999999998</v>
      </c>
      <c r="H13" s="115">
        <f t="shared" si="1"/>
        <v>78.419999999999987</v>
      </c>
      <c r="I13" s="83">
        <v>205.67</v>
      </c>
      <c r="J13" s="83">
        <v>14</v>
      </c>
      <c r="K13" s="83">
        <v>74.25</v>
      </c>
      <c r="L13" s="83">
        <v>2212.59</v>
      </c>
      <c r="M13" s="83">
        <v>127.1</v>
      </c>
      <c r="N13" s="83">
        <v>50</v>
      </c>
      <c r="O13" s="83">
        <v>70</v>
      </c>
      <c r="P13" s="83">
        <v>2498.7399999999998</v>
      </c>
    </row>
    <row r="14" spans="1:16" x14ac:dyDescent="0.25">
      <c r="A14" s="19" t="s">
        <v>31</v>
      </c>
      <c r="B14" s="88">
        <v>25</v>
      </c>
      <c r="C14" s="76" t="s">
        <v>25</v>
      </c>
      <c r="D14" s="76">
        <v>1</v>
      </c>
      <c r="E14" s="83">
        <v>2570.9299999999998</v>
      </c>
      <c r="F14" s="83">
        <v>2570.9299999999998</v>
      </c>
      <c r="G14" s="83">
        <f t="shared" si="0"/>
        <v>2570.9299999999998</v>
      </c>
      <c r="H14" s="115">
        <f t="shared" si="1"/>
        <v>78.419999999999987</v>
      </c>
      <c r="I14" s="83">
        <v>205.67</v>
      </c>
      <c r="J14" s="83">
        <v>14</v>
      </c>
      <c r="K14" s="83">
        <v>74.25</v>
      </c>
      <c r="L14" s="83">
        <v>2212.59</v>
      </c>
      <c r="M14" s="83">
        <v>127.1</v>
      </c>
      <c r="N14" s="83">
        <v>50</v>
      </c>
      <c r="O14" s="83">
        <v>70</v>
      </c>
      <c r="P14" s="83">
        <v>2533.7399999999998</v>
      </c>
    </row>
    <row r="15" spans="1:16" x14ac:dyDescent="0.25">
      <c r="A15" s="19" t="s">
        <v>32</v>
      </c>
      <c r="B15" s="88">
        <v>25</v>
      </c>
      <c r="C15" s="76" t="s">
        <v>25</v>
      </c>
      <c r="D15" s="76">
        <v>1</v>
      </c>
      <c r="E15" s="83">
        <v>2570.9299999999998</v>
      </c>
      <c r="F15" s="83">
        <v>2570.9299999999998</v>
      </c>
      <c r="G15" s="83">
        <f t="shared" si="0"/>
        <v>2570.9299999999998</v>
      </c>
      <c r="H15" s="115">
        <f t="shared" si="1"/>
        <v>78.419999999999987</v>
      </c>
      <c r="I15" s="83">
        <v>205.67</v>
      </c>
      <c r="J15" s="83">
        <v>14</v>
      </c>
      <c r="K15" s="83">
        <v>74.25</v>
      </c>
      <c r="L15" s="83">
        <v>2212.59</v>
      </c>
      <c r="M15" s="83">
        <v>127.1</v>
      </c>
      <c r="N15" s="83">
        <v>50</v>
      </c>
      <c r="O15" s="83">
        <v>70</v>
      </c>
      <c r="P15" s="83">
        <v>2533.7399999999998</v>
      </c>
    </row>
    <row r="16" spans="1:16" x14ac:dyDescent="0.25">
      <c r="A16" s="19" t="s">
        <v>33</v>
      </c>
      <c r="B16" s="88">
        <v>25</v>
      </c>
      <c r="C16" s="76" t="s">
        <v>25</v>
      </c>
      <c r="D16" s="76">
        <v>1</v>
      </c>
      <c r="E16" s="83">
        <v>2570.9299999999998</v>
      </c>
      <c r="F16" s="83">
        <v>2570.9299999999998</v>
      </c>
      <c r="G16" s="83">
        <f t="shared" si="0"/>
        <v>2570.9299999999998</v>
      </c>
      <c r="H16" s="115">
        <f t="shared" si="1"/>
        <v>78.419999999999987</v>
      </c>
      <c r="I16" s="83">
        <v>205.67</v>
      </c>
      <c r="J16" s="83">
        <v>14</v>
      </c>
      <c r="K16" s="83">
        <v>74.25</v>
      </c>
      <c r="L16" s="83">
        <v>2212.59</v>
      </c>
      <c r="M16" s="83">
        <v>127.1</v>
      </c>
      <c r="N16" s="83">
        <v>50</v>
      </c>
      <c r="O16" s="83">
        <v>70</v>
      </c>
      <c r="P16" s="83">
        <v>2837.74</v>
      </c>
    </row>
    <row r="17" spans="1:17" x14ac:dyDescent="0.25">
      <c r="A17" s="19" t="s">
        <v>34</v>
      </c>
      <c r="B17" s="88">
        <v>25</v>
      </c>
      <c r="C17" s="76" t="s">
        <v>25</v>
      </c>
      <c r="D17" s="76">
        <v>1</v>
      </c>
      <c r="E17" s="83">
        <v>2570.9299999999998</v>
      </c>
      <c r="F17" s="83">
        <v>2570.9299999999998</v>
      </c>
      <c r="G17" s="83">
        <f t="shared" si="0"/>
        <v>2570.9299999999998</v>
      </c>
      <c r="H17" s="115">
        <f t="shared" si="1"/>
        <v>78.419999999999987</v>
      </c>
      <c r="I17" s="83">
        <v>205.67</v>
      </c>
      <c r="J17" s="83">
        <v>14</v>
      </c>
      <c r="K17" s="83">
        <v>74.25</v>
      </c>
      <c r="L17" s="83">
        <v>2212.59</v>
      </c>
      <c r="M17" s="83">
        <v>127.1</v>
      </c>
      <c r="N17" s="83">
        <v>50</v>
      </c>
      <c r="O17" s="83">
        <v>70</v>
      </c>
      <c r="P17" s="83">
        <v>2533.7399999999998</v>
      </c>
    </row>
    <row r="18" spans="1:17" x14ac:dyDescent="0.25">
      <c r="A18" s="19" t="s">
        <v>35</v>
      </c>
      <c r="B18" s="88">
        <v>25</v>
      </c>
      <c r="C18" s="76" t="s">
        <v>25</v>
      </c>
      <c r="D18" s="76">
        <v>1</v>
      </c>
      <c r="E18" s="83">
        <v>2570.9299999999998</v>
      </c>
      <c r="F18" s="83">
        <v>2570.9299999999998</v>
      </c>
      <c r="G18" s="83">
        <f t="shared" ref="G18" si="2">F18</f>
        <v>2570.9299999999998</v>
      </c>
      <c r="H18" s="115">
        <f>71.99+6.43</f>
        <v>78.419999999999987</v>
      </c>
      <c r="I18" s="83">
        <v>205.67</v>
      </c>
      <c r="J18" s="83">
        <v>14</v>
      </c>
      <c r="K18" s="83">
        <v>74.25</v>
      </c>
      <c r="L18" s="83">
        <v>2212.59</v>
      </c>
      <c r="M18" s="83">
        <v>127.1</v>
      </c>
      <c r="N18" s="83">
        <v>50</v>
      </c>
      <c r="O18" s="83">
        <v>70</v>
      </c>
      <c r="P18" s="83">
        <v>2533.7399999999998</v>
      </c>
      <c r="Q18" s="20"/>
    </row>
    <row r="19" spans="1:17" x14ac:dyDescent="0.25">
      <c r="A19" s="19" t="s">
        <v>36</v>
      </c>
      <c r="B19" s="88">
        <v>25</v>
      </c>
      <c r="C19" s="76" t="s">
        <v>25</v>
      </c>
      <c r="D19" s="76">
        <v>1</v>
      </c>
      <c r="E19" s="83">
        <v>2570.9299999999998</v>
      </c>
      <c r="F19" s="83">
        <v>2570.9299999999998</v>
      </c>
      <c r="G19" s="83">
        <f t="shared" ref="G19:G21" si="3">F19</f>
        <v>2570.9299999999998</v>
      </c>
      <c r="H19" s="115">
        <f>71.99+6.43</f>
        <v>78.419999999999987</v>
      </c>
      <c r="I19" s="83">
        <v>205.67</v>
      </c>
      <c r="J19" s="83">
        <v>14</v>
      </c>
      <c r="K19" s="83">
        <v>74.25</v>
      </c>
      <c r="L19" s="83">
        <v>2212.59</v>
      </c>
      <c r="M19" s="83">
        <v>127.1</v>
      </c>
      <c r="N19" s="83">
        <v>50</v>
      </c>
      <c r="O19" s="83">
        <v>70</v>
      </c>
      <c r="P19" s="83">
        <v>2533.7399999999998</v>
      </c>
      <c r="Q19" s="20"/>
    </row>
    <row r="20" spans="1:17" x14ac:dyDescent="0.25">
      <c r="A20" s="19" t="s">
        <v>37</v>
      </c>
      <c r="B20" s="88">
        <v>25</v>
      </c>
      <c r="C20" s="76" t="s">
        <v>25</v>
      </c>
      <c r="D20" s="76">
        <v>1</v>
      </c>
      <c r="E20" s="83">
        <v>2570.9299999999998</v>
      </c>
      <c r="F20" s="83">
        <v>2570.9299999999998</v>
      </c>
      <c r="G20" s="83">
        <f t="shared" si="3"/>
        <v>2570.9299999999998</v>
      </c>
      <c r="H20" s="115">
        <f>71.99+6.43</f>
        <v>78.419999999999987</v>
      </c>
      <c r="I20" s="83">
        <v>205.67</v>
      </c>
      <c r="J20" s="83">
        <v>14</v>
      </c>
      <c r="K20" s="83">
        <v>74.25</v>
      </c>
      <c r="L20" s="83">
        <v>2212.59</v>
      </c>
      <c r="M20" s="83">
        <v>127.1</v>
      </c>
      <c r="N20" s="83">
        <v>50</v>
      </c>
      <c r="O20" s="83">
        <v>70</v>
      </c>
      <c r="P20" s="83">
        <v>2608.7399999999998</v>
      </c>
    </row>
    <row r="21" spans="1:17" ht="15.75" thickBot="1" x14ac:dyDescent="0.3">
      <c r="A21" s="19" t="s">
        <v>38</v>
      </c>
      <c r="B21" s="88">
        <v>25</v>
      </c>
      <c r="C21" s="76" t="s">
        <v>25</v>
      </c>
      <c r="D21" s="76">
        <v>1</v>
      </c>
      <c r="E21" s="83">
        <v>2570.9299999999998</v>
      </c>
      <c r="F21" s="83">
        <v>2570.9299999999998</v>
      </c>
      <c r="G21" s="83">
        <f t="shared" si="3"/>
        <v>2570.9299999999998</v>
      </c>
      <c r="H21" s="115">
        <f>71.99+6.43</f>
        <v>78.419999999999987</v>
      </c>
      <c r="I21" s="83">
        <v>205.67</v>
      </c>
      <c r="J21" s="83">
        <v>14</v>
      </c>
      <c r="K21" s="83">
        <v>74.25</v>
      </c>
      <c r="L21" s="83">
        <v>2212.59</v>
      </c>
      <c r="M21" s="83">
        <v>127.1</v>
      </c>
      <c r="N21" s="83">
        <v>50</v>
      </c>
      <c r="O21" s="83">
        <v>70</v>
      </c>
      <c r="P21" s="83">
        <v>2886.74</v>
      </c>
    </row>
    <row r="22" spans="1:17" ht="15.75" thickBot="1" x14ac:dyDescent="0.3">
      <c r="A22" s="12"/>
      <c r="B22" s="13"/>
      <c r="C22" s="13"/>
      <c r="D22" s="13"/>
      <c r="E22" s="84">
        <f t="shared" ref="E22:P22" si="4">SUM(E10:E21)</f>
        <v>30851.16</v>
      </c>
      <c r="F22" s="84">
        <f t="shared" si="4"/>
        <v>30851.16</v>
      </c>
      <c r="G22" s="84">
        <f t="shared" si="4"/>
        <v>30851.16</v>
      </c>
      <c r="H22" s="84">
        <f t="shared" si="4"/>
        <v>941.03999999999962</v>
      </c>
      <c r="I22" s="84">
        <f t="shared" si="4"/>
        <v>2468.0400000000004</v>
      </c>
      <c r="J22" s="84">
        <f t="shared" si="4"/>
        <v>168</v>
      </c>
      <c r="K22" s="84">
        <f t="shared" si="4"/>
        <v>891</v>
      </c>
      <c r="L22" s="84">
        <f t="shared" si="4"/>
        <v>26551.08</v>
      </c>
      <c r="M22" s="84">
        <f t="shared" si="4"/>
        <v>1533.8999999999996</v>
      </c>
      <c r="N22" s="84">
        <f t="shared" si="4"/>
        <v>600</v>
      </c>
      <c r="O22" s="84">
        <f t="shared" si="4"/>
        <v>840</v>
      </c>
      <c r="P22" s="85">
        <f t="shared" si="4"/>
        <v>31214.179999999986</v>
      </c>
    </row>
    <row r="23" spans="1:17" x14ac:dyDescent="0.25">
      <c r="N23" s="20"/>
    </row>
    <row r="24" spans="1:17" x14ac:dyDescent="0.25">
      <c r="N24" s="20"/>
    </row>
    <row r="25" spans="1:17" x14ac:dyDescent="0.25">
      <c r="A25" s="154" t="s">
        <v>16</v>
      </c>
      <c r="B25" s="154" t="s">
        <v>17</v>
      </c>
      <c r="C25" s="154" t="s">
        <v>18</v>
      </c>
      <c r="D25" s="154" t="s">
        <v>19</v>
      </c>
      <c r="E25" s="154" t="s">
        <v>20</v>
      </c>
      <c r="F25" s="154" t="s">
        <v>21</v>
      </c>
      <c r="G25" s="154" t="s">
        <v>7</v>
      </c>
      <c r="H25" s="155" t="s">
        <v>22</v>
      </c>
      <c r="I25" s="156"/>
      <c r="J25" s="156"/>
      <c r="K25" s="157"/>
    </row>
    <row r="26" spans="1:17" x14ac:dyDescent="0.25">
      <c r="A26" s="154"/>
      <c r="B26" s="154"/>
      <c r="C26" s="154"/>
      <c r="D26" s="154"/>
      <c r="E26" s="154"/>
      <c r="F26" s="154"/>
      <c r="G26" s="154"/>
      <c r="H26" s="177" t="s">
        <v>9</v>
      </c>
      <c r="I26" s="178"/>
      <c r="J26" s="11" t="s">
        <v>23</v>
      </c>
      <c r="K26" s="103" t="s">
        <v>24</v>
      </c>
    </row>
    <row r="27" spans="1:17" x14ac:dyDescent="0.25">
      <c r="A27" s="1" t="s">
        <v>69</v>
      </c>
      <c r="B27" s="81">
        <v>173</v>
      </c>
      <c r="C27" s="79"/>
      <c r="D27" s="80"/>
      <c r="E27" s="80">
        <v>8</v>
      </c>
      <c r="F27" s="80"/>
      <c r="G27" s="78">
        <v>16</v>
      </c>
      <c r="H27" s="149">
        <f t="shared" ref="H27:H38" si="5">M10</f>
        <v>135.80000000000001</v>
      </c>
      <c r="I27" s="150"/>
      <c r="J27" s="102">
        <f t="shared" ref="J27:J38" si="6">N10</f>
        <v>50</v>
      </c>
      <c r="K27" s="83">
        <f t="shared" ref="K27:K38" si="7">P10</f>
        <v>2640.04</v>
      </c>
    </row>
    <row r="28" spans="1:17" x14ac:dyDescent="0.25">
      <c r="A28" s="2" t="s">
        <v>70</v>
      </c>
      <c r="B28" s="81">
        <v>173</v>
      </c>
      <c r="C28" s="77"/>
      <c r="D28" s="81">
        <v>32</v>
      </c>
      <c r="E28" s="81"/>
      <c r="F28" s="81"/>
      <c r="G28" s="76"/>
      <c r="H28" s="149">
        <f t="shared" si="5"/>
        <v>127.1</v>
      </c>
      <c r="I28" s="150"/>
      <c r="J28" s="102">
        <f t="shared" si="6"/>
        <v>50</v>
      </c>
      <c r="K28" s="83">
        <f t="shared" si="7"/>
        <v>2539.7399999999998</v>
      </c>
    </row>
    <row r="29" spans="1:17" x14ac:dyDescent="0.25">
      <c r="A29" s="2" t="s">
        <v>71</v>
      </c>
      <c r="B29" s="81">
        <v>173</v>
      </c>
      <c r="C29" s="77"/>
      <c r="D29" s="81"/>
      <c r="E29" s="81"/>
      <c r="F29" s="81"/>
      <c r="G29" s="76">
        <v>8</v>
      </c>
      <c r="H29" s="149">
        <f t="shared" si="5"/>
        <v>127.1</v>
      </c>
      <c r="I29" s="150"/>
      <c r="J29" s="102">
        <f t="shared" si="6"/>
        <v>50</v>
      </c>
      <c r="K29" s="83">
        <f t="shared" si="7"/>
        <v>2533.7399999999998</v>
      </c>
    </row>
    <row r="30" spans="1:17" x14ac:dyDescent="0.25">
      <c r="A30" s="2" t="s">
        <v>72</v>
      </c>
      <c r="B30" s="81">
        <v>173</v>
      </c>
      <c r="C30" s="77"/>
      <c r="D30" s="81">
        <v>16</v>
      </c>
      <c r="E30" s="81">
        <v>8</v>
      </c>
      <c r="F30" s="81"/>
      <c r="G30" s="76"/>
      <c r="H30" s="149">
        <f t="shared" si="5"/>
        <v>127.1</v>
      </c>
      <c r="I30" s="150"/>
      <c r="J30" s="102">
        <f t="shared" si="6"/>
        <v>50</v>
      </c>
      <c r="K30" s="83">
        <f t="shared" si="7"/>
        <v>2498.7399999999998</v>
      </c>
    </row>
    <row r="31" spans="1:17" x14ac:dyDescent="0.25">
      <c r="A31" s="2" t="s">
        <v>71</v>
      </c>
      <c r="B31" s="81">
        <v>173</v>
      </c>
      <c r="C31" s="77"/>
      <c r="D31" s="81">
        <v>16</v>
      </c>
      <c r="E31" s="81">
        <v>32</v>
      </c>
      <c r="F31" s="81"/>
      <c r="G31" s="76"/>
      <c r="H31" s="149">
        <f t="shared" si="5"/>
        <v>127.1</v>
      </c>
      <c r="I31" s="150"/>
      <c r="J31" s="102">
        <f t="shared" si="6"/>
        <v>50</v>
      </c>
      <c r="K31" s="83">
        <f t="shared" si="7"/>
        <v>2533.7399999999998</v>
      </c>
    </row>
    <row r="32" spans="1:17" x14ac:dyDescent="0.25">
      <c r="A32" s="6" t="s">
        <v>69</v>
      </c>
      <c r="B32" s="81">
        <v>173</v>
      </c>
      <c r="C32" s="77"/>
      <c r="D32" s="81">
        <v>7</v>
      </c>
      <c r="E32" s="81">
        <v>8</v>
      </c>
      <c r="F32" s="81"/>
      <c r="G32" s="76"/>
      <c r="H32" s="149">
        <f t="shared" si="5"/>
        <v>127.1</v>
      </c>
      <c r="I32" s="150"/>
      <c r="J32" s="102">
        <f t="shared" si="6"/>
        <v>50</v>
      </c>
      <c r="K32" s="83">
        <f t="shared" si="7"/>
        <v>2533.7399999999998</v>
      </c>
    </row>
    <row r="33" spans="1:11" x14ac:dyDescent="0.25">
      <c r="A33" s="6" t="s">
        <v>69</v>
      </c>
      <c r="B33" s="81">
        <v>173</v>
      </c>
      <c r="C33" s="77"/>
      <c r="D33" s="81"/>
      <c r="E33" s="81"/>
      <c r="F33" s="81"/>
      <c r="G33" s="76"/>
      <c r="H33" s="149">
        <f t="shared" si="5"/>
        <v>127.1</v>
      </c>
      <c r="I33" s="150"/>
      <c r="J33" s="102">
        <f t="shared" si="6"/>
        <v>50</v>
      </c>
      <c r="K33" s="83">
        <f t="shared" si="7"/>
        <v>2837.74</v>
      </c>
    </row>
    <row r="34" spans="1:11" x14ac:dyDescent="0.25">
      <c r="A34" s="6" t="s">
        <v>72</v>
      </c>
      <c r="B34" s="81">
        <v>173</v>
      </c>
      <c r="C34" s="77"/>
      <c r="D34" s="81">
        <v>132</v>
      </c>
      <c r="E34" s="81">
        <v>8</v>
      </c>
      <c r="F34" s="81"/>
      <c r="G34" s="76">
        <v>1.5</v>
      </c>
      <c r="H34" s="149">
        <f t="shared" si="5"/>
        <v>127.1</v>
      </c>
      <c r="I34" s="150"/>
      <c r="J34" s="102">
        <f t="shared" si="6"/>
        <v>50</v>
      </c>
      <c r="K34" s="83">
        <f t="shared" si="7"/>
        <v>2533.7399999999998</v>
      </c>
    </row>
    <row r="35" spans="1:11" x14ac:dyDescent="0.25">
      <c r="A35" s="6" t="s">
        <v>73</v>
      </c>
      <c r="B35" s="81">
        <v>173</v>
      </c>
      <c r="C35" s="77"/>
      <c r="D35" s="81"/>
      <c r="E35" s="81"/>
      <c r="F35" s="81"/>
      <c r="G35" s="76"/>
      <c r="H35" s="149">
        <f t="shared" si="5"/>
        <v>127.1</v>
      </c>
      <c r="I35" s="150"/>
      <c r="J35" s="102">
        <f t="shared" si="6"/>
        <v>50</v>
      </c>
      <c r="K35" s="83">
        <f t="shared" si="7"/>
        <v>2533.7399999999998</v>
      </c>
    </row>
    <row r="36" spans="1:11" x14ac:dyDescent="0.25">
      <c r="A36" s="6" t="s">
        <v>74</v>
      </c>
      <c r="B36" s="81">
        <v>173</v>
      </c>
      <c r="C36" s="77"/>
      <c r="D36" s="81">
        <v>2.75</v>
      </c>
      <c r="E36" s="81"/>
      <c r="F36" s="81"/>
      <c r="G36" s="76"/>
      <c r="H36" s="149">
        <f t="shared" si="5"/>
        <v>127.1</v>
      </c>
      <c r="I36" s="150"/>
      <c r="J36" s="102">
        <f t="shared" si="6"/>
        <v>50</v>
      </c>
      <c r="K36" s="83">
        <f t="shared" si="7"/>
        <v>2533.7399999999998</v>
      </c>
    </row>
    <row r="37" spans="1:11" x14ac:dyDescent="0.25">
      <c r="A37" s="6" t="s">
        <v>75</v>
      </c>
      <c r="B37" s="81">
        <v>173</v>
      </c>
      <c r="C37" s="77"/>
      <c r="D37" s="81"/>
      <c r="E37" s="81">
        <v>8</v>
      </c>
      <c r="F37" s="81"/>
      <c r="G37" s="76"/>
      <c r="H37" s="149">
        <f t="shared" si="5"/>
        <v>127.1</v>
      </c>
      <c r="I37" s="150"/>
      <c r="J37" s="102">
        <f t="shared" si="6"/>
        <v>50</v>
      </c>
      <c r="K37" s="83">
        <f t="shared" si="7"/>
        <v>2608.7399999999998</v>
      </c>
    </row>
    <row r="38" spans="1:11" ht="15.75" thickBot="1" x14ac:dyDescent="0.3">
      <c r="A38" s="6" t="s">
        <v>76</v>
      </c>
      <c r="B38" s="81">
        <v>173</v>
      </c>
      <c r="C38" s="77"/>
      <c r="D38" s="81">
        <v>38</v>
      </c>
      <c r="E38" s="81">
        <v>16</v>
      </c>
      <c r="F38" s="81"/>
      <c r="G38" s="76">
        <v>24</v>
      </c>
      <c r="H38" s="149">
        <f t="shared" si="5"/>
        <v>127.1</v>
      </c>
      <c r="I38" s="150"/>
      <c r="J38" s="102">
        <f t="shared" si="6"/>
        <v>50</v>
      </c>
      <c r="K38" s="83">
        <f t="shared" si="7"/>
        <v>2886.74</v>
      </c>
    </row>
    <row r="39" spans="1:11" ht="15.75" thickBot="1" x14ac:dyDescent="0.3">
      <c r="A39" s="72"/>
      <c r="B39" s="86">
        <f>SUM(B27:B38)</f>
        <v>2076</v>
      </c>
      <c r="C39" s="86">
        <f t="shared" ref="C39:H39" si="8">SUM(C27:C38)</f>
        <v>0</v>
      </c>
      <c r="D39" s="86">
        <f t="shared" si="8"/>
        <v>243.75</v>
      </c>
      <c r="E39" s="86">
        <f t="shared" si="8"/>
        <v>88</v>
      </c>
      <c r="F39" s="86">
        <f t="shared" si="8"/>
        <v>0</v>
      </c>
      <c r="G39" s="86">
        <f t="shared" si="8"/>
        <v>49.5</v>
      </c>
      <c r="H39" s="151">
        <f t="shared" si="8"/>
        <v>1533.8999999999996</v>
      </c>
      <c r="I39" s="152"/>
      <c r="J39" s="84">
        <f>SUM(J27:J38)</f>
        <v>600</v>
      </c>
      <c r="K39" s="85">
        <f>SUM(K27:K38)</f>
        <v>31214.179999999986</v>
      </c>
    </row>
  </sheetData>
  <mergeCells count="40">
    <mergeCell ref="H36:I36"/>
    <mergeCell ref="H37:I37"/>
    <mergeCell ref="H38:I38"/>
    <mergeCell ref="H39:I39"/>
    <mergeCell ref="H30:I30"/>
    <mergeCell ref="H31:I31"/>
    <mergeCell ref="H32:I32"/>
    <mergeCell ref="H33:I33"/>
    <mergeCell ref="H34:I34"/>
    <mergeCell ref="H35:I35"/>
    <mergeCell ref="H29:I29"/>
    <mergeCell ref="A25:A26"/>
    <mergeCell ref="B25:B26"/>
    <mergeCell ref="C25:C26"/>
    <mergeCell ref="D25:D26"/>
    <mergeCell ref="E25:E26"/>
    <mergeCell ref="F25:F26"/>
    <mergeCell ref="G25:G26"/>
    <mergeCell ref="H25:K25"/>
    <mergeCell ref="H26:I26"/>
    <mergeCell ref="H27:I27"/>
    <mergeCell ref="H28:I28"/>
    <mergeCell ref="A6:D6"/>
    <mergeCell ref="E6:F6"/>
    <mergeCell ref="G6:H6"/>
    <mergeCell ref="L6:N6"/>
    <mergeCell ref="A7:D7"/>
    <mergeCell ref="E7:F7"/>
    <mergeCell ref="G7:H7"/>
    <mergeCell ref="L7:N7"/>
    <mergeCell ref="B2:B3"/>
    <mergeCell ref="D2:D3"/>
    <mergeCell ref="F2:I3"/>
    <mergeCell ref="L2:N3"/>
    <mergeCell ref="A4:D4"/>
    <mergeCell ref="A5:D5"/>
    <mergeCell ref="E5:F5"/>
    <mergeCell ref="G5:H5"/>
    <mergeCell ref="J5:K5"/>
    <mergeCell ref="L5:N5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BFD9EA-B140-45DE-8ED0-2EFDB04F9855}">
  <dimension ref="A2:Q39"/>
  <sheetViews>
    <sheetView workbookViewId="0">
      <selection activeCell="O35" sqref="O35"/>
    </sheetView>
  </sheetViews>
  <sheetFormatPr defaultColWidth="11.42578125" defaultRowHeight="15" x14ac:dyDescent="0.25"/>
  <cols>
    <col min="1" max="1" width="11.140625" customWidth="1"/>
    <col min="2" max="2" width="12" customWidth="1"/>
    <col min="3" max="16" width="15.140625" customWidth="1"/>
  </cols>
  <sheetData>
    <row r="2" spans="1:16" x14ac:dyDescent="0.25">
      <c r="A2" s="3"/>
      <c r="B2" s="169" t="s">
        <v>0</v>
      </c>
      <c r="C2" s="14"/>
      <c r="D2" s="147">
        <v>2024</v>
      </c>
      <c r="E2" s="14"/>
      <c r="F2" s="169" t="s">
        <v>15</v>
      </c>
      <c r="G2" s="169"/>
      <c r="H2" s="169"/>
      <c r="I2" s="169"/>
      <c r="J2" s="14"/>
      <c r="K2" s="14"/>
      <c r="L2" s="147" t="s">
        <v>121</v>
      </c>
      <c r="M2" s="147"/>
      <c r="N2" s="147"/>
      <c r="O2" s="14"/>
      <c r="P2" s="15"/>
    </row>
    <row r="3" spans="1:16" x14ac:dyDescent="0.25">
      <c r="A3" s="8"/>
      <c r="B3" s="170"/>
      <c r="C3" s="16"/>
      <c r="D3" s="148"/>
      <c r="E3" s="16"/>
      <c r="F3" s="170"/>
      <c r="G3" s="170"/>
      <c r="H3" s="170"/>
      <c r="I3" s="170"/>
      <c r="J3" s="16"/>
      <c r="K3" s="16"/>
      <c r="L3" s="148"/>
      <c r="M3" s="148"/>
      <c r="N3" s="148"/>
      <c r="O3" s="16"/>
      <c r="P3" s="17"/>
    </row>
    <row r="4" spans="1:16" x14ac:dyDescent="0.25">
      <c r="A4" s="171" t="s">
        <v>58</v>
      </c>
      <c r="B4" s="172"/>
      <c r="C4" s="172"/>
      <c r="D4" s="173"/>
      <c r="E4" s="3"/>
      <c r="F4" s="4"/>
      <c r="G4" s="4"/>
      <c r="H4" s="4"/>
      <c r="I4" s="4"/>
      <c r="J4" s="4"/>
      <c r="K4" s="4"/>
      <c r="L4" s="4"/>
      <c r="M4" s="4"/>
      <c r="N4" s="4"/>
      <c r="O4" s="4"/>
      <c r="P4" s="5"/>
    </row>
    <row r="5" spans="1:16" x14ac:dyDescent="0.25">
      <c r="A5" s="174" t="s">
        <v>59</v>
      </c>
      <c r="B5" s="146"/>
      <c r="C5" s="146"/>
      <c r="D5" s="175"/>
      <c r="E5" s="162" t="s">
        <v>12</v>
      </c>
      <c r="F5" s="163"/>
      <c r="G5" s="153">
        <f>G6</f>
        <v>45446</v>
      </c>
      <c r="H5" s="153"/>
      <c r="J5" s="145" t="s">
        <v>122</v>
      </c>
      <c r="K5" s="145"/>
      <c r="L5" s="145" t="s">
        <v>117</v>
      </c>
      <c r="M5" s="145"/>
      <c r="N5" s="145"/>
      <c r="O5" t="s">
        <v>39</v>
      </c>
      <c r="P5" s="124" t="s">
        <v>120</v>
      </c>
    </row>
    <row r="6" spans="1:16" x14ac:dyDescent="0.25">
      <c r="A6" s="174" t="s">
        <v>60</v>
      </c>
      <c r="B6" s="146"/>
      <c r="C6" s="146"/>
      <c r="D6" s="175"/>
      <c r="E6" s="162" t="s">
        <v>13</v>
      </c>
      <c r="F6" s="163"/>
      <c r="G6" s="153">
        <v>45446</v>
      </c>
      <c r="H6" s="153"/>
      <c r="L6" s="146" t="s">
        <v>118</v>
      </c>
      <c r="M6" s="146"/>
      <c r="N6" s="146"/>
      <c r="P6" s="7"/>
    </row>
    <row r="7" spans="1:16" x14ac:dyDescent="0.25">
      <c r="A7" s="166" t="s">
        <v>83</v>
      </c>
      <c r="B7" s="167"/>
      <c r="C7" s="167"/>
      <c r="D7" s="168"/>
      <c r="E7" s="162" t="s">
        <v>14</v>
      </c>
      <c r="F7" s="163"/>
      <c r="G7" s="176"/>
      <c r="H7" s="176"/>
      <c r="L7" s="146" t="s">
        <v>119</v>
      </c>
      <c r="M7" s="146"/>
      <c r="N7" s="146"/>
      <c r="P7" s="7"/>
    </row>
    <row r="8" spans="1:16" x14ac:dyDescent="0.25">
      <c r="A8" s="8"/>
      <c r="B8" s="9"/>
      <c r="C8" s="9"/>
      <c r="D8" s="10"/>
      <c r="E8" s="8"/>
      <c r="F8" s="9"/>
      <c r="G8" s="9"/>
      <c r="H8" s="9"/>
      <c r="I8" s="9"/>
      <c r="J8" s="9"/>
      <c r="K8" s="9"/>
      <c r="L8" s="9"/>
      <c r="M8" s="9"/>
      <c r="N8" s="9"/>
      <c r="O8" s="9"/>
      <c r="P8" s="10"/>
    </row>
    <row r="9" spans="1:16" x14ac:dyDescent="0.25">
      <c r="A9" s="11" t="s">
        <v>1</v>
      </c>
      <c r="B9" s="1" t="s">
        <v>3</v>
      </c>
      <c r="C9" s="122" t="s">
        <v>2</v>
      </c>
      <c r="D9" s="116" t="s">
        <v>26</v>
      </c>
      <c r="E9" s="116" t="s">
        <v>4</v>
      </c>
      <c r="F9" s="116" t="s">
        <v>5</v>
      </c>
      <c r="G9" s="116" t="s">
        <v>6</v>
      </c>
      <c r="H9" s="116" t="s">
        <v>7</v>
      </c>
      <c r="I9" s="116" t="s">
        <v>8</v>
      </c>
      <c r="J9" s="116" t="s">
        <v>114</v>
      </c>
      <c r="K9" s="116" t="s">
        <v>84</v>
      </c>
      <c r="L9" s="116" t="s">
        <v>9</v>
      </c>
      <c r="M9" s="116" t="s">
        <v>10</v>
      </c>
      <c r="N9" s="116" t="s">
        <v>78</v>
      </c>
      <c r="O9" s="116" t="s">
        <v>77</v>
      </c>
      <c r="P9" s="116" t="s">
        <v>11</v>
      </c>
    </row>
    <row r="10" spans="1:16" x14ac:dyDescent="0.25">
      <c r="A10" s="18" t="s">
        <v>27</v>
      </c>
      <c r="B10" s="87">
        <v>25</v>
      </c>
      <c r="C10" s="78" t="s">
        <v>25</v>
      </c>
      <c r="D10" s="78">
        <v>1</v>
      </c>
      <c r="E10" s="83">
        <v>0</v>
      </c>
      <c r="F10" s="83">
        <v>0</v>
      </c>
      <c r="G10" s="83">
        <f t="shared" ref="G10:G21" si="0">F10</f>
        <v>0</v>
      </c>
      <c r="H10" s="115">
        <v>0</v>
      </c>
      <c r="I10" s="83">
        <v>0</v>
      </c>
      <c r="J10" s="82">
        <v>0</v>
      </c>
      <c r="K10" s="82">
        <v>0</v>
      </c>
      <c r="L10" s="82">
        <v>0</v>
      </c>
      <c r="M10" s="82">
        <v>0</v>
      </c>
      <c r="N10" s="82">
        <v>0</v>
      </c>
      <c r="O10" s="83">
        <v>0</v>
      </c>
      <c r="P10" s="82">
        <v>0</v>
      </c>
    </row>
    <row r="11" spans="1:16" x14ac:dyDescent="0.25">
      <c r="A11" s="19" t="s">
        <v>116</v>
      </c>
      <c r="B11" s="88">
        <v>25</v>
      </c>
      <c r="C11" s="76" t="s">
        <v>25</v>
      </c>
      <c r="D11" s="76">
        <v>1</v>
      </c>
      <c r="E11" s="83">
        <v>0</v>
      </c>
      <c r="F11" s="83">
        <v>0</v>
      </c>
      <c r="G11" s="83">
        <f t="shared" si="0"/>
        <v>0</v>
      </c>
      <c r="H11" s="115">
        <v>0</v>
      </c>
      <c r="I11" s="83">
        <v>0</v>
      </c>
      <c r="J11" s="83">
        <v>0</v>
      </c>
      <c r="K11" s="83">
        <v>0</v>
      </c>
      <c r="L11" s="83">
        <v>0</v>
      </c>
      <c r="M11" s="83">
        <v>0</v>
      </c>
      <c r="N11" s="83">
        <v>0</v>
      </c>
      <c r="O11" s="83">
        <v>0</v>
      </c>
      <c r="P11" s="83">
        <v>0</v>
      </c>
    </row>
    <row r="12" spans="1:16" x14ac:dyDescent="0.25">
      <c r="A12" s="19" t="s">
        <v>29</v>
      </c>
      <c r="B12" s="88">
        <v>25</v>
      </c>
      <c r="C12" s="76" t="s">
        <v>25</v>
      </c>
      <c r="D12" s="76">
        <v>1</v>
      </c>
      <c r="E12" s="83">
        <v>0</v>
      </c>
      <c r="F12" s="83">
        <v>0</v>
      </c>
      <c r="G12" s="83">
        <f t="shared" ref="G12:G14" si="1">F12</f>
        <v>0</v>
      </c>
      <c r="H12" s="115">
        <v>0</v>
      </c>
      <c r="I12" s="83">
        <v>0</v>
      </c>
      <c r="J12" s="83">
        <v>0</v>
      </c>
      <c r="K12" s="83">
        <v>0</v>
      </c>
      <c r="L12" s="83">
        <v>0</v>
      </c>
      <c r="M12" s="83">
        <v>0</v>
      </c>
      <c r="N12" s="83">
        <v>0</v>
      </c>
      <c r="O12" s="83">
        <v>0</v>
      </c>
      <c r="P12" s="83">
        <v>0</v>
      </c>
    </row>
    <row r="13" spans="1:16" x14ac:dyDescent="0.25">
      <c r="A13" s="19" t="s">
        <v>30</v>
      </c>
      <c r="B13" s="88">
        <v>25</v>
      </c>
      <c r="C13" s="76" t="s">
        <v>25</v>
      </c>
      <c r="D13" s="76">
        <v>1</v>
      </c>
      <c r="E13" s="83">
        <v>0</v>
      </c>
      <c r="F13" s="83">
        <v>0</v>
      </c>
      <c r="G13" s="83">
        <f t="shared" si="1"/>
        <v>0</v>
      </c>
      <c r="H13" s="115">
        <v>0</v>
      </c>
      <c r="I13" s="83">
        <v>0</v>
      </c>
      <c r="J13" s="83">
        <v>0</v>
      </c>
      <c r="K13" s="83">
        <v>0</v>
      </c>
      <c r="L13" s="83">
        <v>0</v>
      </c>
      <c r="M13" s="83">
        <v>0</v>
      </c>
      <c r="N13" s="83">
        <v>0</v>
      </c>
      <c r="O13" s="83">
        <v>0</v>
      </c>
      <c r="P13" s="83">
        <v>0</v>
      </c>
    </row>
    <row r="14" spans="1:16" x14ac:dyDescent="0.25">
      <c r="A14" s="19" t="s">
        <v>31</v>
      </c>
      <c r="B14" s="88">
        <v>25</v>
      </c>
      <c r="C14" s="76" t="s">
        <v>25</v>
      </c>
      <c r="D14" s="76">
        <v>1</v>
      </c>
      <c r="E14" s="83">
        <v>0</v>
      </c>
      <c r="F14" s="83">
        <v>0</v>
      </c>
      <c r="G14" s="83">
        <f t="shared" si="1"/>
        <v>0</v>
      </c>
      <c r="H14" s="115">
        <v>0</v>
      </c>
      <c r="I14" s="83">
        <v>0</v>
      </c>
      <c r="J14" s="83">
        <v>0</v>
      </c>
      <c r="K14" s="83">
        <v>0</v>
      </c>
      <c r="L14" s="83">
        <v>0</v>
      </c>
      <c r="M14" s="83">
        <v>0</v>
      </c>
      <c r="N14" s="83">
        <v>0</v>
      </c>
      <c r="O14" s="83">
        <v>0</v>
      </c>
      <c r="P14" s="83">
        <v>0</v>
      </c>
    </row>
    <row r="15" spans="1:16" x14ac:dyDescent="0.25">
      <c r="A15" s="19" t="s">
        <v>32</v>
      </c>
      <c r="B15" s="88">
        <v>25</v>
      </c>
      <c r="C15" s="76" t="s">
        <v>25</v>
      </c>
      <c r="D15" s="76">
        <v>1</v>
      </c>
      <c r="E15" s="83">
        <v>2570.9299999999998</v>
      </c>
      <c r="F15" s="83">
        <v>2570.9299999999998</v>
      </c>
      <c r="G15" s="83">
        <f t="shared" si="0"/>
        <v>2570.9299999999998</v>
      </c>
      <c r="H15" s="115">
        <f t="shared" ref="H10:H17" si="2">71.99+6.43</f>
        <v>78.419999999999987</v>
      </c>
      <c r="I15" s="83">
        <v>205.67</v>
      </c>
      <c r="J15" s="83">
        <v>14</v>
      </c>
      <c r="K15" s="83">
        <v>214.5</v>
      </c>
      <c r="L15" s="83">
        <v>2072.34</v>
      </c>
      <c r="M15" s="83">
        <v>105</v>
      </c>
      <c r="N15" s="83">
        <v>50</v>
      </c>
      <c r="O15" s="83">
        <v>70</v>
      </c>
      <c r="P15" s="83">
        <v>488.84</v>
      </c>
    </row>
    <row r="16" spans="1:16" x14ac:dyDescent="0.25">
      <c r="A16" s="19" t="s">
        <v>33</v>
      </c>
      <c r="B16" s="88">
        <v>25</v>
      </c>
      <c r="C16" s="76" t="s">
        <v>25</v>
      </c>
      <c r="D16" s="76">
        <v>1</v>
      </c>
      <c r="E16" s="83">
        <v>2570.9299999999998</v>
      </c>
      <c r="F16" s="83">
        <v>2570.9299999999998</v>
      </c>
      <c r="G16" s="83">
        <f t="shared" si="0"/>
        <v>2570.9299999999998</v>
      </c>
      <c r="H16" s="115">
        <f t="shared" si="2"/>
        <v>78.419999999999987</v>
      </c>
      <c r="I16" s="83">
        <v>205.67</v>
      </c>
      <c r="J16" s="83">
        <v>14</v>
      </c>
      <c r="K16" s="83">
        <v>214.5</v>
      </c>
      <c r="L16" s="83">
        <v>2072.34</v>
      </c>
      <c r="M16" s="83">
        <v>105</v>
      </c>
      <c r="N16" s="83">
        <v>50</v>
      </c>
      <c r="O16" s="83">
        <v>70</v>
      </c>
      <c r="P16" s="83">
        <v>2589.84</v>
      </c>
    </row>
    <row r="17" spans="1:17" x14ac:dyDescent="0.25">
      <c r="A17" s="19" t="s">
        <v>34</v>
      </c>
      <c r="B17" s="88">
        <v>25</v>
      </c>
      <c r="C17" s="76" t="s">
        <v>25</v>
      </c>
      <c r="D17" s="76">
        <v>1</v>
      </c>
      <c r="E17" s="83">
        <v>2570.9299999999998</v>
      </c>
      <c r="F17" s="83">
        <v>2570.9299999999998</v>
      </c>
      <c r="G17" s="83">
        <f t="shared" si="0"/>
        <v>2570.9299999999998</v>
      </c>
      <c r="H17" s="115">
        <f t="shared" si="2"/>
        <v>78.419999999999987</v>
      </c>
      <c r="I17" s="83">
        <v>205.67</v>
      </c>
      <c r="J17" s="83">
        <v>14</v>
      </c>
      <c r="K17" s="83">
        <v>214.5</v>
      </c>
      <c r="L17" s="83">
        <v>2072.34</v>
      </c>
      <c r="M17" s="83">
        <v>105</v>
      </c>
      <c r="N17" s="83">
        <v>50</v>
      </c>
      <c r="O17" s="83">
        <v>70</v>
      </c>
      <c r="P17" s="83">
        <v>2288.84</v>
      </c>
    </row>
    <row r="18" spans="1:17" x14ac:dyDescent="0.25">
      <c r="A18" s="19" t="s">
        <v>35</v>
      </c>
      <c r="B18" s="88">
        <v>25</v>
      </c>
      <c r="C18" s="76" t="s">
        <v>25</v>
      </c>
      <c r="D18" s="76">
        <v>1</v>
      </c>
      <c r="E18" s="83">
        <v>2570.9299999999998</v>
      </c>
      <c r="F18" s="83">
        <v>2570.9299999999998</v>
      </c>
      <c r="G18" s="83">
        <f t="shared" si="0"/>
        <v>2570.9299999999998</v>
      </c>
      <c r="H18" s="115">
        <f>71.99+6.43</f>
        <v>78.419999999999987</v>
      </c>
      <c r="I18" s="83">
        <v>205.67</v>
      </c>
      <c r="J18" s="83">
        <v>14</v>
      </c>
      <c r="K18" s="83">
        <v>214.5</v>
      </c>
      <c r="L18" s="83">
        <v>2072.34</v>
      </c>
      <c r="M18" s="83">
        <v>105</v>
      </c>
      <c r="N18" s="83">
        <v>50</v>
      </c>
      <c r="O18" s="83">
        <v>70</v>
      </c>
      <c r="P18" s="83">
        <v>2348.17</v>
      </c>
      <c r="Q18" s="20"/>
    </row>
    <row r="19" spans="1:17" x14ac:dyDescent="0.25">
      <c r="A19" s="19" t="s">
        <v>36</v>
      </c>
      <c r="B19" s="88">
        <v>25</v>
      </c>
      <c r="C19" s="76" t="s">
        <v>25</v>
      </c>
      <c r="D19" s="76">
        <v>1</v>
      </c>
      <c r="E19" s="83">
        <v>2570.9299999999998</v>
      </c>
      <c r="F19" s="83">
        <v>2570.9299999999998</v>
      </c>
      <c r="G19" s="83">
        <f t="shared" si="0"/>
        <v>2570.9299999999998</v>
      </c>
      <c r="H19" s="115">
        <f>71.99+6.43</f>
        <v>78.419999999999987</v>
      </c>
      <c r="I19" s="83">
        <v>205.67</v>
      </c>
      <c r="J19" s="83">
        <v>14</v>
      </c>
      <c r="K19" s="83">
        <v>214.5</v>
      </c>
      <c r="L19" s="83">
        <v>2072.34</v>
      </c>
      <c r="M19" s="83">
        <v>105</v>
      </c>
      <c r="N19" s="83">
        <v>50</v>
      </c>
      <c r="O19" s="83">
        <v>70</v>
      </c>
      <c r="P19" s="83">
        <v>2288.84</v>
      </c>
      <c r="Q19" s="20"/>
    </row>
    <row r="20" spans="1:17" x14ac:dyDescent="0.25">
      <c r="A20" s="19" t="s">
        <v>37</v>
      </c>
      <c r="B20" s="88">
        <v>25</v>
      </c>
      <c r="C20" s="76" t="s">
        <v>25</v>
      </c>
      <c r="D20" s="76">
        <v>1</v>
      </c>
      <c r="E20" s="83">
        <v>2570.9299999999998</v>
      </c>
      <c r="F20" s="83">
        <v>2570.9299999999998</v>
      </c>
      <c r="G20" s="83">
        <f t="shared" si="0"/>
        <v>2570.9299999999998</v>
      </c>
      <c r="H20" s="115">
        <f>71.99+6.43</f>
        <v>78.419999999999987</v>
      </c>
      <c r="I20" s="83">
        <v>205.67</v>
      </c>
      <c r="J20" s="83">
        <v>14</v>
      </c>
      <c r="K20" s="83">
        <v>214.5</v>
      </c>
      <c r="L20" s="83">
        <v>2072.34</v>
      </c>
      <c r="M20" s="83">
        <v>105</v>
      </c>
      <c r="N20" s="83">
        <v>50</v>
      </c>
      <c r="O20" s="83">
        <v>70</v>
      </c>
      <c r="P20" s="83">
        <v>2288.84</v>
      </c>
    </row>
    <row r="21" spans="1:17" ht="15.75" thickBot="1" x14ac:dyDescent="0.3">
      <c r="A21" s="19" t="s">
        <v>38</v>
      </c>
      <c r="B21" s="88">
        <v>25</v>
      </c>
      <c r="C21" s="76" t="s">
        <v>25</v>
      </c>
      <c r="D21" s="76">
        <v>1</v>
      </c>
      <c r="E21" s="83">
        <v>2570.9299999999998</v>
      </c>
      <c r="F21" s="83">
        <v>2570.9299999999998</v>
      </c>
      <c r="G21" s="83">
        <f t="shared" si="0"/>
        <v>2570.9299999999998</v>
      </c>
      <c r="H21" s="115">
        <f>71.99+6.43</f>
        <v>78.419999999999987</v>
      </c>
      <c r="I21" s="83">
        <v>205.67</v>
      </c>
      <c r="J21" s="83">
        <v>14</v>
      </c>
      <c r="K21" s="83">
        <v>214.5</v>
      </c>
      <c r="L21" s="83">
        <v>2072.34</v>
      </c>
      <c r="M21" s="83">
        <v>105</v>
      </c>
      <c r="N21" s="83">
        <v>50</v>
      </c>
      <c r="O21" s="83">
        <v>70</v>
      </c>
      <c r="P21" s="83">
        <v>2538.84</v>
      </c>
    </row>
    <row r="22" spans="1:17" ht="15.75" thickBot="1" x14ac:dyDescent="0.3">
      <c r="A22" s="12"/>
      <c r="B22" s="13"/>
      <c r="C22" s="13"/>
      <c r="D22" s="13"/>
      <c r="E22" s="84">
        <f t="shared" ref="E22:P22" si="3">SUM(E10:E21)</f>
        <v>17996.509999999998</v>
      </c>
      <c r="F22" s="84">
        <f t="shared" si="3"/>
        <v>17996.509999999998</v>
      </c>
      <c r="G22" s="84">
        <f t="shared" si="3"/>
        <v>17996.509999999998</v>
      </c>
      <c r="H22" s="84">
        <f t="shared" si="3"/>
        <v>548.93999999999983</v>
      </c>
      <c r="I22" s="84">
        <f t="shared" si="3"/>
        <v>1439.69</v>
      </c>
      <c r="J22" s="84">
        <f t="shared" si="3"/>
        <v>98</v>
      </c>
      <c r="K22" s="84">
        <f t="shared" si="3"/>
        <v>1501.5</v>
      </c>
      <c r="L22" s="84">
        <f t="shared" si="3"/>
        <v>14506.380000000001</v>
      </c>
      <c r="M22" s="84">
        <f t="shared" si="3"/>
        <v>735</v>
      </c>
      <c r="N22" s="84">
        <f t="shared" si="3"/>
        <v>350</v>
      </c>
      <c r="O22" s="84">
        <f t="shared" si="3"/>
        <v>490</v>
      </c>
      <c r="P22" s="85">
        <f t="shared" si="3"/>
        <v>14832.210000000001</v>
      </c>
    </row>
    <row r="23" spans="1:17" x14ac:dyDescent="0.25">
      <c r="N23" s="20"/>
    </row>
    <row r="24" spans="1:17" x14ac:dyDescent="0.25">
      <c r="N24" s="20"/>
    </row>
    <row r="25" spans="1:17" x14ac:dyDescent="0.25">
      <c r="A25" s="154" t="s">
        <v>16</v>
      </c>
      <c r="B25" s="154" t="s">
        <v>17</v>
      </c>
      <c r="C25" s="154" t="s">
        <v>18</v>
      </c>
      <c r="D25" s="154" t="s">
        <v>19</v>
      </c>
      <c r="E25" s="154" t="s">
        <v>20</v>
      </c>
      <c r="F25" s="154" t="s">
        <v>21</v>
      </c>
      <c r="G25" s="154" t="s">
        <v>7</v>
      </c>
      <c r="H25" s="155" t="s">
        <v>22</v>
      </c>
      <c r="I25" s="156"/>
      <c r="J25" s="156"/>
      <c r="K25" s="157"/>
    </row>
    <row r="26" spans="1:17" x14ac:dyDescent="0.25">
      <c r="A26" s="154"/>
      <c r="B26" s="154"/>
      <c r="C26" s="154"/>
      <c r="D26" s="154"/>
      <c r="E26" s="154"/>
      <c r="F26" s="154"/>
      <c r="G26" s="154"/>
      <c r="H26" s="177" t="s">
        <v>9</v>
      </c>
      <c r="I26" s="178"/>
      <c r="J26" s="11" t="s">
        <v>23</v>
      </c>
      <c r="K26" s="103" t="s">
        <v>24</v>
      </c>
    </row>
    <row r="27" spans="1:17" x14ac:dyDescent="0.25">
      <c r="A27" s="1" t="s">
        <v>69</v>
      </c>
      <c r="B27" s="81" t="s">
        <v>87</v>
      </c>
      <c r="C27" s="79"/>
      <c r="D27" s="80"/>
      <c r="E27" s="80"/>
      <c r="F27" s="80"/>
      <c r="G27" s="78"/>
      <c r="H27" s="149">
        <f t="shared" ref="H27:H38" si="4">M10</f>
        <v>0</v>
      </c>
      <c r="I27" s="150"/>
      <c r="J27" s="102">
        <f t="shared" ref="J27:J38" si="5">N10</f>
        <v>0</v>
      </c>
      <c r="K27" s="83">
        <f t="shared" ref="K27:K38" si="6">P10</f>
        <v>0</v>
      </c>
    </row>
    <row r="28" spans="1:17" x14ac:dyDescent="0.25">
      <c r="A28" s="2" t="s">
        <v>70</v>
      </c>
      <c r="B28" s="81" t="s">
        <v>87</v>
      </c>
      <c r="C28" s="77"/>
      <c r="D28" s="81"/>
      <c r="E28" s="81"/>
      <c r="F28" s="81"/>
      <c r="G28" s="76"/>
      <c r="H28" s="149">
        <f t="shared" si="4"/>
        <v>0</v>
      </c>
      <c r="I28" s="150"/>
      <c r="J28" s="102">
        <f t="shared" si="5"/>
        <v>0</v>
      </c>
      <c r="K28" s="83">
        <f t="shared" si="6"/>
        <v>0</v>
      </c>
    </row>
    <row r="29" spans="1:17" x14ac:dyDescent="0.25">
      <c r="A29" s="2" t="s">
        <v>71</v>
      </c>
      <c r="B29" s="81" t="s">
        <v>87</v>
      </c>
      <c r="C29" s="77"/>
      <c r="D29" s="81"/>
      <c r="E29" s="81"/>
      <c r="F29" s="81"/>
      <c r="G29" s="76"/>
      <c r="H29" s="149">
        <f t="shared" si="4"/>
        <v>0</v>
      </c>
      <c r="I29" s="150"/>
      <c r="J29" s="102">
        <f t="shared" si="5"/>
        <v>0</v>
      </c>
      <c r="K29" s="83">
        <f t="shared" si="6"/>
        <v>0</v>
      </c>
    </row>
    <row r="30" spans="1:17" x14ac:dyDescent="0.25">
      <c r="A30" s="2" t="s">
        <v>72</v>
      </c>
      <c r="B30" s="81" t="s">
        <v>87</v>
      </c>
      <c r="C30" s="77"/>
      <c r="D30" s="81"/>
      <c r="E30" s="81"/>
      <c r="F30" s="81"/>
      <c r="G30" s="76"/>
      <c r="H30" s="149">
        <f t="shared" si="4"/>
        <v>0</v>
      </c>
      <c r="I30" s="150"/>
      <c r="J30" s="102">
        <f t="shared" si="5"/>
        <v>0</v>
      </c>
      <c r="K30" s="83">
        <f t="shared" si="6"/>
        <v>0</v>
      </c>
    </row>
    <row r="31" spans="1:17" x14ac:dyDescent="0.25">
      <c r="A31" s="2" t="s">
        <v>71</v>
      </c>
      <c r="B31" s="81" t="s">
        <v>87</v>
      </c>
      <c r="C31" s="77"/>
      <c r="D31" s="81"/>
      <c r="E31" s="81"/>
      <c r="F31" s="81"/>
      <c r="G31" s="76"/>
      <c r="H31" s="149">
        <f t="shared" si="4"/>
        <v>0</v>
      </c>
      <c r="I31" s="150"/>
      <c r="J31" s="102">
        <f t="shared" si="5"/>
        <v>0</v>
      </c>
      <c r="K31" s="83">
        <f t="shared" si="6"/>
        <v>0</v>
      </c>
    </row>
    <row r="32" spans="1:17" x14ac:dyDescent="0.25">
      <c r="A32" s="6" t="s">
        <v>69</v>
      </c>
      <c r="B32" s="81">
        <v>173</v>
      </c>
      <c r="C32" s="77"/>
      <c r="D32" s="81">
        <v>8</v>
      </c>
      <c r="E32" s="81">
        <v>8</v>
      </c>
      <c r="F32" s="81"/>
      <c r="G32" s="76"/>
      <c r="H32" s="149">
        <f t="shared" si="4"/>
        <v>105</v>
      </c>
      <c r="I32" s="150"/>
      <c r="J32" s="102">
        <f t="shared" si="5"/>
        <v>50</v>
      </c>
      <c r="K32" s="83">
        <f t="shared" si="6"/>
        <v>488.84</v>
      </c>
    </row>
    <row r="33" spans="1:11" x14ac:dyDescent="0.25">
      <c r="A33" s="6" t="s">
        <v>69</v>
      </c>
      <c r="B33" s="81">
        <v>173</v>
      </c>
      <c r="C33" s="77"/>
      <c r="D33" s="81">
        <v>16</v>
      </c>
      <c r="E33" s="81"/>
      <c r="F33" s="81"/>
      <c r="G33" s="76"/>
      <c r="H33" s="149">
        <f t="shared" si="4"/>
        <v>105</v>
      </c>
      <c r="I33" s="150"/>
      <c r="J33" s="102">
        <f t="shared" si="5"/>
        <v>50</v>
      </c>
      <c r="K33" s="83">
        <f t="shared" si="6"/>
        <v>2589.84</v>
      </c>
    </row>
    <row r="34" spans="1:11" x14ac:dyDescent="0.25">
      <c r="A34" s="6" t="s">
        <v>72</v>
      </c>
      <c r="B34" s="81">
        <v>173</v>
      </c>
      <c r="C34" s="77"/>
      <c r="D34" s="81">
        <v>80</v>
      </c>
      <c r="E34" s="81">
        <v>8</v>
      </c>
      <c r="F34" s="81"/>
      <c r="G34" s="76"/>
      <c r="H34" s="149">
        <f t="shared" si="4"/>
        <v>105</v>
      </c>
      <c r="I34" s="150"/>
      <c r="J34" s="102">
        <f t="shared" si="5"/>
        <v>50</v>
      </c>
      <c r="K34" s="83">
        <f t="shared" si="6"/>
        <v>2288.84</v>
      </c>
    </row>
    <row r="35" spans="1:11" x14ac:dyDescent="0.25">
      <c r="A35" s="6" t="s">
        <v>73</v>
      </c>
      <c r="B35" s="81">
        <v>173</v>
      </c>
      <c r="C35" s="77"/>
      <c r="D35" s="81">
        <v>8</v>
      </c>
      <c r="E35" s="81"/>
      <c r="F35" s="81"/>
      <c r="G35" s="76"/>
      <c r="H35" s="149">
        <f t="shared" si="4"/>
        <v>105</v>
      </c>
      <c r="I35" s="150"/>
      <c r="J35" s="102">
        <f t="shared" si="5"/>
        <v>50</v>
      </c>
      <c r="K35" s="83">
        <f t="shared" si="6"/>
        <v>2348.17</v>
      </c>
    </row>
    <row r="36" spans="1:11" x14ac:dyDescent="0.25">
      <c r="A36" s="6" t="s">
        <v>74</v>
      </c>
      <c r="B36" s="81">
        <v>173</v>
      </c>
      <c r="C36" s="77"/>
      <c r="D36" s="81"/>
      <c r="E36" s="81"/>
      <c r="F36" s="81"/>
      <c r="G36" s="76">
        <v>24</v>
      </c>
      <c r="H36" s="149">
        <f t="shared" si="4"/>
        <v>105</v>
      </c>
      <c r="I36" s="150"/>
      <c r="J36" s="102">
        <f t="shared" si="5"/>
        <v>50</v>
      </c>
      <c r="K36" s="83">
        <f t="shared" si="6"/>
        <v>2288.84</v>
      </c>
    </row>
    <row r="37" spans="1:11" x14ac:dyDescent="0.25">
      <c r="A37" s="6" t="s">
        <v>75</v>
      </c>
      <c r="B37" s="81">
        <v>173</v>
      </c>
      <c r="C37" s="77"/>
      <c r="D37" s="81"/>
      <c r="E37" s="81">
        <v>8</v>
      </c>
      <c r="F37" s="81"/>
      <c r="G37" s="76"/>
      <c r="H37" s="149">
        <f t="shared" si="4"/>
        <v>105</v>
      </c>
      <c r="I37" s="150"/>
      <c r="J37" s="102">
        <f t="shared" si="5"/>
        <v>50</v>
      </c>
      <c r="K37" s="83">
        <f t="shared" si="6"/>
        <v>2288.84</v>
      </c>
    </row>
    <row r="38" spans="1:11" ht="15.75" thickBot="1" x14ac:dyDescent="0.3">
      <c r="A38" s="6" t="s">
        <v>76</v>
      </c>
      <c r="B38" s="81">
        <v>173</v>
      </c>
      <c r="C38" s="77"/>
      <c r="D38" s="81">
        <v>40</v>
      </c>
      <c r="E38" s="81">
        <v>16</v>
      </c>
      <c r="F38" s="81"/>
      <c r="G38" s="76"/>
      <c r="H38" s="149">
        <f t="shared" si="4"/>
        <v>105</v>
      </c>
      <c r="I38" s="150"/>
      <c r="J38" s="102">
        <f t="shared" si="5"/>
        <v>50</v>
      </c>
      <c r="K38" s="83">
        <f t="shared" si="6"/>
        <v>2538.84</v>
      </c>
    </row>
    <row r="39" spans="1:11" ht="15.75" thickBot="1" x14ac:dyDescent="0.3">
      <c r="A39" s="72"/>
      <c r="B39" s="86">
        <f>SUM(B27:B38)</f>
        <v>1211</v>
      </c>
      <c r="C39" s="86">
        <f t="shared" ref="C39:H39" si="7">SUM(C27:C38)</f>
        <v>0</v>
      </c>
      <c r="D39" s="86">
        <f t="shared" si="7"/>
        <v>152</v>
      </c>
      <c r="E39" s="86">
        <f t="shared" si="7"/>
        <v>40</v>
      </c>
      <c r="F39" s="86">
        <f t="shared" si="7"/>
        <v>0</v>
      </c>
      <c r="G39" s="86">
        <f t="shared" si="7"/>
        <v>24</v>
      </c>
      <c r="H39" s="151">
        <f t="shared" si="7"/>
        <v>735</v>
      </c>
      <c r="I39" s="152"/>
      <c r="J39" s="84">
        <f>SUM(J27:J38)</f>
        <v>350</v>
      </c>
      <c r="K39" s="85">
        <f>SUM(K27:K38)</f>
        <v>14832.210000000001</v>
      </c>
    </row>
  </sheetData>
  <mergeCells count="40">
    <mergeCell ref="A5:D5"/>
    <mergeCell ref="E5:F5"/>
    <mergeCell ref="G5:H5"/>
    <mergeCell ref="J5:K5"/>
    <mergeCell ref="L5:N5"/>
    <mergeCell ref="B2:B3"/>
    <mergeCell ref="D2:D3"/>
    <mergeCell ref="F2:I3"/>
    <mergeCell ref="L2:N3"/>
    <mergeCell ref="A4:D4"/>
    <mergeCell ref="A6:D6"/>
    <mergeCell ref="E6:F6"/>
    <mergeCell ref="G6:H6"/>
    <mergeCell ref="L6:N6"/>
    <mergeCell ref="A7:D7"/>
    <mergeCell ref="E7:F7"/>
    <mergeCell ref="G7:H7"/>
    <mergeCell ref="L7:N7"/>
    <mergeCell ref="H29:I29"/>
    <mergeCell ref="A25:A26"/>
    <mergeCell ref="B25:B26"/>
    <mergeCell ref="C25:C26"/>
    <mergeCell ref="D25:D26"/>
    <mergeCell ref="E25:E26"/>
    <mergeCell ref="F25:F26"/>
    <mergeCell ref="G25:G26"/>
    <mergeCell ref="H25:K25"/>
    <mergeCell ref="H26:I26"/>
    <mergeCell ref="H27:I27"/>
    <mergeCell ref="H28:I28"/>
    <mergeCell ref="H36:I36"/>
    <mergeCell ref="H37:I37"/>
    <mergeCell ref="H38:I38"/>
    <mergeCell ref="H39:I39"/>
    <mergeCell ref="H30:I30"/>
    <mergeCell ref="H31:I31"/>
    <mergeCell ref="H32:I32"/>
    <mergeCell ref="H33:I33"/>
    <mergeCell ref="H34:I34"/>
    <mergeCell ref="H35:I35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7EA954-570B-4999-AA7C-0F33A6DA2782}">
  <dimension ref="A2:Q39"/>
  <sheetViews>
    <sheetView workbookViewId="0">
      <selection activeCell="F25" sqref="F25:F26"/>
    </sheetView>
  </sheetViews>
  <sheetFormatPr defaultColWidth="11.42578125" defaultRowHeight="15" x14ac:dyDescent="0.25"/>
  <cols>
    <col min="1" max="1" width="11.140625" customWidth="1"/>
    <col min="2" max="2" width="12" customWidth="1"/>
    <col min="3" max="16" width="15.140625" customWidth="1"/>
  </cols>
  <sheetData>
    <row r="2" spans="1:16" x14ac:dyDescent="0.25">
      <c r="A2" s="3"/>
      <c r="B2" s="169" t="s">
        <v>0</v>
      </c>
      <c r="C2" s="14"/>
      <c r="D2" s="147">
        <v>2024</v>
      </c>
      <c r="E2" s="14"/>
      <c r="F2" s="169" t="s">
        <v>15</v>
      </c>
      <c r="G2" s="169"/>
      <c r="H2" s="169"/>
      <c r="I2" s="169"/>
      <c r="J2" s="14"/>
      <c r="K2" s="14"/>
      <c r="L2" s="147" t="s">
        <v>124</v>
      </c>
      <c r="M2" s="147"/>
      <c r="N2" s="147"/>
      <c r="O2" s="14"/>
      <c r="P2" s="15"/>
    </row>
    <row r="3" spans="1:16" x14ac:dyDescent="0.25">
      <c r="A3" s="8"/>
      <c r="B3" s="170"/>
      <c r="C3" s="16"/>
      <c r="D3" s="148"/>
      <c r="E3" s="16"/>
      <c r="F3" s="170"/>
      <c r="G3" s="170"/>
      <c r="H3" s="170"/>
      <c r="I3" s="170"/>
      <c r="J3" s="16"/>
      <c r="K3" s="16"/>
      <c r="L3" s="148"/>
      <c r="M3" s="148"/>
      <c r="N3" s="148"/>
      <c r="O3" s="16"/>
      <c r="P3" s="17"/>
    </row>
    <row r="4" spans="1:16" x14ac:dyDescent="0.25">
      <c r="A4" s="171" t="s">
        <v>58</v>
      </c>
      <c r="B4" s="172"/>
      <c r="C4" s="172"/>
      <c r="D4" s="173"/>
      <c r="E4" s="3"/>
      <c r="F4" s="4"/>
      <c r="G4" s="4"/>
      <c r="H4" s="4"/>
      <c r="I4" s="4"/>
      <c r="J4" s="4"/>
      <c r="K4" s="4"/>
      <c r="L4" s="4"/>
      <c r="M4" s="4"/>
      <c r="N4" s="4"/>
      <c r="O4" s="4"/>
      <c r="P4" s="5"/>
    </row>
    <row r="5" spans="1:16" x14ac:dyDescent="0.25">
      <c r="A5" s="174" t="s">
        <v>59</v>
      </c>
      <c r="B5" s="146"/>
      <c r="C5" s="146"/>
      <c r="D5" s="175"/>
      <c r="E5" s="162" t="s">
        <v>12</v>
      </c>
      <c r="F5" s="163"/>
      <c r="G5" s="153">
        <f>G6</f>
        <v>45462</v>
      </c>
      <c r="H5" s="153"/>
      <c r="J5" s="145" t="s">
        <v>128</v>
      </c>
      <c r="K5" s="145"/>
      <c r="L5" s="145" t="s">
        <v>125</v>
      </c>
      <c r="M5" s="145"/>
      <c r="N5" s="145"/>
      <c r="O5" t="s">
        <v>39</v>
      </c>
      <c r="P5" s="124" t="s">
        <v>123</v>
      </c>
    </row>
    <row r="6" spans="1:16" x14ac:dyDescent="0.25">
      <c r="A6" s="174" t="s">
        <v>60</v>
      </c>
      <c r="B6" s="146"/>
      <c r="C6" s="146"/>
      <c r="D6" s="175"/>
      <c r="E6" s="162" t="s">
        <v>13</v>
      </c>
      <c r="F6" s="163"/>
      <c r="G6" s="153">
        <v>45462</v>
      </c>
      <c r="H6" s="153"/>
      <c r="L6" s="146" t="s">
        <v>126</v>
      </c>
      <c r="M6" s="146"/>
      <c r="N6" s="146"/>
      <c r="P6" s="7"/>
    </row>
    <row r="7" spans="1:16" x14ac:dyDescent="0.25">
      <c r="A7" s="166" t="s">
        <v>83</v>
      </c>
      <c r="B7" s="167"/>
      <c r="C7" s="167"/>
      <c r="D7" s="168"/>
      <c r="E7" s="162" t="s">
        <v>14</v>
      </c>
      <c r="F7" s="163"/>
      <c r="G7" s="176"/>
      <c r="H7" s="176"/>
      <c r="L7" s="146" t="s">
        <v>127</v>
      </c>
      <c r="M7" s="146"/>
      <c r="N7" s="146"/>
      <c r="P7" s="7"/>
    </row>
    <row r="8" spans="1:16" x14ac:dyDescent="0.25">
      <c r="A8" s="8"/>
      <c r="B8" s="9"/>
      <c r="C8" s="9"/>
      <c r="D8" s="10"/>
      <c r="E8" s="8"/>
      <c r="F8" s="9"/>
      <c r="G8" s="9"/>
      <c r="H8" s="9"/>
      <c r="I8" s="9"/>
      <c r="J8" s="9"/>
      <c r="K8" s="9"/>
      <c r="L8" s="9"/>
      <c r="M8" s="9"/>
      <c r="N8" s="9"/>
      <c r="O8" s="9"/>
      <c r="P8" s="10"/>
    </row>
    <row r="9" spans="1:16" x14ac:dyDescent="0.25">
      <c r="A9" s="11" t="s">
        <v>1</v>
      </c>
      <c r="B9" s="1" t="s">
        <v>3</v>
      </c>
      <c r="C9" s="122" t="s">
        <v>2</v>
      </c>
      <c r="D9" s="116" t="s">
        <v>26</v>
      </c>
      <c r="E9" s="116" t="s">
        <v>4</v>
      </c>
      <c r="F9" s="116" t="s">
        <v>5</v>
      </c>
      <c r="G9" s="122" t="s">
        <v>6</v>
      </c>
      <c r="H9" s="116" t="s">
        <v>7</v>
      </c>
      <c r="I9" s="116" t="s">
        <v>8</v>
      </c>
      <c r="J9" s="116" t="s">
        <v>114</v>
      </c>
      <c r="K9" s="116" t="s">
        <v>84</v>
      </c>
      <c r="L9" s="116" t="s">
        <v>9</v>
      </c>
      <c r="M9" s="116" t="s">
        <v>10</v>
      </c>
      <c r="N9" s="116" t="s">
        <v>78</v>
      </c>
      <c r="O9" s="116" t="s">
        <v>77</v>
      </c>
      <c r="P9" s="116" t="s">
        <v>11</v>
      </c>
    </row>
    <row r="10" spans="1:16" x14ac:dyDescent="0.25">
      <c r="A10" s="18" t="s">
        <v>27</v>
      </c>
      <c r="B10" s="87">
        <v>25</v>
      </c>
      <c r="C10" s="78" t="s">
        <v>25</v>
      </c>
      <c r="D10" s="78" t="s">
        <v>129</v>
      </c>
      <c r="E10" s="82">
        <v>0</v>
      </c>
      <c r="F10" s="82">
        <v>0</v>
      </c>
      <c r="G10" s="82">
        <f>F10</f>
        <v>0</v>
      </c>
      <c r="H10" s="114">
        <v>0</v>
      </c>
      <c r="I10" s="82">
        <v>0</v>
      </c>
      <c r="J10" s="82">
        <v>0</v>
      </c>
      <c r="K10" s="82">
        <v>0</v>
      </c>
      <c r="L10" s="82">
        <v>0</v>
      </c>
      <c r="M10" s="82">
        <v>0</v>
      </c>
      <c r="N10" s="82">
        <v>0</v>
      </c>
      <c r="O10" s="82">
        <v>0</v>
      </c>
      <c r="P10" s="82">
        <v>0</v>
      </c>
    </row>
    <row r="11" spans="1:16" x14ac:dyDescent="0.25">
      <c r="A11" s="19" t="s">
        <v>116</v>
      </c>
      <c r="B11" s="88">
        <v>25</v>
      </c>
      <c r="C11" s="76" t="s">
        <v>25</v>
      </c>
      <c r="D11" s="76" t="s">
        <v>129</v>
      </c>
      <c r="E11" s="83">
        <v>0</v>
      </c>
      <c r="F11" s="83">
        <v>0</v>
      </c>
      <c r="G11" s="83">
        <f t="shared" ref="G11:G21" si="0">F11</f>
        <v>0</v>
      </c>
      <c r="H11" s="115">
        <v>0</v>
      </c>
      <c r="I11" s="83">
        <v>0</v>
      </c>
      <c r="J11" s="83">
        <v>0</v>
      </c>
      <c r="K11" s="83">
        <v>0</v>
      </c>
      <c r="L11" s="83">
        <v>0</v>
      </c>
      <c r="M11" s="83">
        <v>0</v>
      </c>
      <c r="N11" s="83">
        <v>0</v>
      </c>
      <c r="O11" s="83">
        <v>0</v>
      </c>
      <c r="P11" s="83">
        <v>0</v>
      </c>
    </row>
    <row r="12" spans="1:16" x14ac:dyDescent="0.25">
      <c r="A12" s="19" t="s">
        <v>29</v>
      </c>
      <c r="B12" s="88">
        <v>25</v>
      </c>
      <c r="C12" s="76" t="s">
        <v>25</v>
      </c>
      <c r="D12" s="76" t="s">
        <v>129</v>
      </c>
      <c r="E12" s="83">
        <v>0</v>
      </c>
      <c r="F12" s="83">
        <v>0</v>
      </c>
      <c r="G12" s="83">
        <f t="shared" si="0"/>
        <v>0</v>
      </c>
      <c r="H12" s="115">
        <v>0</v>
      </c>
      <c r="I12" s="83">
        <v>0</v>
      </c>
      <c r="J12" s="83">
        <v>0</v>
      </c>
      <c r="K12" s="83">
        <v>0</v>
      </c>
      <c r="L12" s="83">
        <v>0</v>
      </c>
      <c r="M12" s="83">
        <v>0</v>
      </c>
      <c r="N12" s="83">
        <v>0</v>
      </c>
      <c r="O12" s="83">
        <v>0</v>
      </c>
      <c r="P12" s="83">
        <v>0</v>
      </c>
    </row>
    <row r="13" spans="1:16" x14ac:dyDescent="0.25">
      <c r="A13" s="19" t="s">
        <v>30</v>
      </c>
      <c r="B13" s="88">
        <v>25</v>
      </c>
      <c r="C13" s="76" t="s">
        <v>25</v>
      </c>
      <c r="D13" s="76" t="s">
        <v>129</v>
      </c>
      <c r="E13" s="83">
        <v>0</v>
      </c>
      <c r="F13" s="83">
        <v>0</v>
      </c>
      <c r="G13" s="83">
        <f t="shared" si="0"/>
        <v>0</v>
      </c>
      <c r="H13" s="115">
        <v>0</v>
      </c>
      <c r="I13" s="83">
        <v>0</v>
      </c>
      <c r="J13" s="83">
        <v>0</v>
      </c>
      <c r="K13" s="83">
        <v>0</v>
      </c>
      <c r="L13" s="83">
        <v>0</v>
      </c>
      <c r="M13" s="83">
        <v>0</v>
      </c>
      <c r="N13" s="83">
        <v>0</v>
      </c>
      <c r="O13" s="83">
        <v>0</v>
      </c>
      <c r="P13" s="83">
        <v>0</v>
      </c>
    </row>
    <row r="14" spans="1:16" x14ac:dyDescent="0.25">
      <c r="A14" s="19" t="s">
        <v>31</v>
      </c>
      <c r="B14" s="88">
        <v>25</v>
      </c>
      <c r="C14" s="76" t="s">
        <v>25</v>
      </c>
      <c r="D14" s="76" t="s">
        <v>129</v>
      </c>
      <c r="E14" s="83">
        <v>0</v>
      </c>
      <c r="F14" s="83">
        <v>0</v>
      </c>
      <c r="G14" s="83">
        <f t="shared" si="0"/>
        <v>0</v>
      </c>
      <c r="H14" s="115">
        <v>0</v>
      </c>
      <c r="I14" s="83">
        <v>0</v>
      </c>
      <c r="J14" s="83">
        <v>0</v>
      </c>
      <c r="K14" s="83">
        <v>0</v>
      </c>
      <c r="L14" s="83">
        <v>0</v>
      </c>
      <c r="M14" s="83">
        <v>0</v>
      </c>
      <c r="N14" s="83">
        <v>0</v>
      </c>
      <c r="O14" s="83">
        <v>0</v>
      </c>
      <c r="P14" s="83">
        <v>0</v>
      </c>
    </row>
    <row r="15" spans="1:16" x14ac:dyDescent="0.25">
      <c r="A15" s="19" t="s">
        <v>32</v>
      </c>
      <c r="B15" s="88">
        <v>25</v>
      </c>
      <c r="C15" s="76" t="s">
        <v>25</v>
      </c>
      <c r="D15" s="76" t="s">
        <v>129</v>
      </c>
      <c r="E15" s="83">
        <v>951.1</v>
      </c>
      <c r="F15" s="83">
        <v>594.44000000000005</v>
      </c>
      <c r="G15" s="83">
        <f t="shared" si="0"/>
        <v>594.44000000000005</v>
      </c>
      <c r="H15" s="115">
        <f>16.64+1.49</f>
        <v>18.13</v>
      </c>
      <c r="I15" s="83">
        <v>47.55</v>
      </c>
      <c r="J15" s="83">
        <v>14</v>
      </c>
      <c r="K15" s="83">
        <v>10.56</v>
      </c>
      <c r="L15" s="83">
        <v>518.19000000000005</v>
      </c>
      <c r="M15" s="83">
        <v>0</v>
      </c>
      <c r="N15" s="83">
        <v>39.979999999999997</v>
      </c>
      <c r="O15" s="83">
        <v>0</v>
      </c>
      <c r="P15" s="83">
        <v>-916.6</v>
      </c>
    </row>
    <row r="16" spans="1:16" x14ac:dyDescent="0.25">
      <c r="A16" s="19" t="s">
        <v>33</v>
      </c>
      <c r="B16" s="88">
        <v>25</v>
      </c>
      <c r="C16" s="76" t="s">
        <v>25</v>
      </c>
      <c r="D16" s="76" t="s">
        <v>129</v>
      </c>
      <c r="E16" s="83">
        <v>297.22000000000003</v>
      </c>
      <c r="F16" s="83">
        <v>297.22000000000003</v>
      </c>
      <c r="G16" s="83">
        <f t="shared" si="0"/>
        <v>297.22000000000003</v>
      </c>
      <c r="H16" s="115">
        <f>8.32+0.74</f>
        <v>9.06</v>
      </c>
      <c r="I16" s="83">
        <v>23.78</v>
      </c>
      <c r="J16" s="83">
        <v>14</v>
      </c>
      <c r="K16" s="83">
        <v>10.56</v>
      </c>
      <c r="L16" s="83">
        <v>253.82</v>
      </c>
      <c r="M16" s="83">
        <v>0</v>
      </c>
      <c r="N16" s="83">
        <v>31.36</v>
      </c>
      <c r="O16" s="83">
        <v>0</v>
      </c>
      <c r="P16" s="83">
        <v>-852.03</v>
      </c>
    </row>
    <row r="17" spans="1:17" x14ac:dyDescent="0.25">
      <c r="A17" s="19" t="s">
        <v>34</v>
      </c>
      <c r="B17" s="88">
        <v>25</v>
      </c>
      <c r="C17" s="76" t="s">
        <v>25</v>
      </c>
      <c r="D17" s="76" t="s">
        <v>129</v>
      </c>
      <c r="E17" s="83">
        <v>297.22000000000003</v>
      </c>
      <c r="F17" s="83">
        <v>297.22000000000003</v>
      </c>
      <c r="G17" s="83">
        <f t="shared" ref="G17:G18" si="1">F17</f>
        <v>297.22000000000003</v>
      </c>
      <c r="H17" s="115">
        <f>8.32+0.74</f>
        <v>9.06</v>
      </c>
      <c r="I17" s="83">
        <v>23.78</v>
      </c>
      <c r="J17" s="83">
        <v>14</v>
      </c>
      <c r="K17" s="83">
        <v>10.56</v>
      </c>
      <c r="L17" s="83">
        <v>253.82</v>
      </c>
      <c r="M17" s="83">
        <v>0</v>
      </c>
      <c r="N17" s="83">
        <v>31.36</v>
      </c>
      <c r="O17" s="83">
        <v>0</v>
      </c>
      <c r="P17" s="83">
        <v>-537.46</v>
      </c>
    </row>
    <row r="18" spans="1:17" x14ac:dyDescent="0.25">
      <c r="A18" s="19" t="s">
        <v>35</v>
      </c>
      <c r="B18" s="88">
        <v>25</v>
      </c>
      <c r="C18" s="76" t="s">
        <v>25</v>
      </c>
      <c r="D18" s="76" t="s">
        <v>129</v>
      </c>
      <c r="E18" s="83">
        <v>297.22000000000003</v>
      </c>
      <c r="F18" s="83">
        <v>297.22000000000003</v>
      </c>
      <c r="G18" s="83">
        <f t="shared" si="1"/>
        <v>297.22000000000003</v>
      </c>
      <c r="H18" s="115">
        <f>8.32+0.74</f>
        <v>9.06</v>
      </c>
      <c r="I18" s="83">
        <v>23.78</v>
      </c>
      <c r="J18" s="83">
        <v>14</v>
      </c>
      <c r="K18" s="83">
        <v>10.56</v>
      </c>
      <c r="L18" s="83">
        <v>253.82</v>
      </c>
      <c r="M18" s="83">
        <v>0</v>
      </c>
      <c r="N18" s="83">
        <v>31.36</v>
      </c>
      <c r="O18" s="83">
        <v>0</v>
      </c>
      <c r="P18" s="83">
        <v>-572.89</v>
      </c>
      <c r="Q18" s="20"/>
    </row>
    <row r="19" spans="1:17" x14ac:dyDescent="0.25">
      <c r="A19" s="19" t="s">
        <v>36</v>
      </c>
      <c r="B19" s="88">
        <v>25</v>
      </c>
      <c r="C19" s="76" t="s">
        <v>25</v>
      </c>
      <c r="D19" s="76" t="s">
        <v>129</v>
      </c>
      <c r="E19" s="83">
        <v>297.22000000000003</v>
      </c>
      <c r="F19" s="83">
        <v>297.22000000000003</v>
      </c>
      <c r="G19" s="83">
        <f t="shared" ref="G19:G21" si="2">F19</f>
        <v>297.22000000000003</v>
      </c>
      <c r="H19" s="115">
        <f>8.32+0.74</f>
        <v>9.06</v>
      </c>
      <c r="I19" s="83">
        <v>23.78</v>
      </c>
      <c r="J19" s="83">
        <v>14</v>
      </c>
      <c r="K19" s="83">
        <v>10.56</v>
      </c>
      <c r="L19" s="83">
        <v>253.82</v>
      </c>
      <c r="M19" s="83">
        <v>0</v>
      </c>
      <c r="N19" s="83">
        <v>31.36</v>
      </c>
      <c r="O19" s="83">
        <v>0</v>
      </c>
      <c r="P19" s="83">
        <v>-258.32</v>
      </c>
      <c r="Q19" s="20"/>
    </row>
    <row r="20" spans="1:17" x14ac:dyDescent="0.25">
      <c r="A20" s="19" t="s">
        <v>37</v>
      </c>
      <c r="B20" s="88">
        <v>25</v>
      </c>
      <c r="C20" s="76" t="s">
        <v>25</v>
      </c>
      <c r="D20" s="76" t="s">
        <v>129</v>
      </c>
      <c r="E20" s="83">
        <v>297.22000000000003</v>
      </c>
      <c r="F20" s="83">
        <v>297.22000000000003</v>
      </c>
      <c r="G20" s="83">
        <f t="shared" si="2"/>
        <v>297.22000000000003</v>
      </c>
      <c r="H20" s="115">
        <f>8.32+0.74</f>
        <v>9.06</v>
      </c>
      <c r="I20" s="83">
        <v>23.78</v>
      </c>
      <c r="J20" s="83">
        <v>14</v>
      </c>
      <c r="K20" s="83">
        <v>10.56</v>
      </c>
      <c r="L20" s="83">
        <v>253.82</v>
      </c>
      <c r="M20" s="83">
        <v>0</v>
      </c>
      <c r="N20" s="83">
        <v>31.36</v>
      </c>
      <c r="O20" s="83">
        <v>0</v>
      </c>
      <c r="P20" s="83">
        <v>56.25</v>
      </c>
    </row>
    <row r="21" spans="1:17" ht="15.75" thickBot="1" x14ac:dyDescent="0.3">
      <c r="A21" s="19" t="s">
        <v>38</v>
      </c>
      <c r="B21" s="88">
        <v>25</v>
      </c>
      <c r="C21" s="76" t="s">
        <v>25</v>
      </c>
      <c r="D21" s="76" t="s">
        <v>129</v>
      </c>
      <c r="E21" s="83">
        <v>297.22000000000003</v>
      </c>
      <c r="F21" s="83">
        <v>297.22000000000003</v>
      </c>
      <c r="G21" s="83">
        <f t="shared" si="2"/>
        <v>297.22000000000003</v>
      </c>
      <c r="H21" s="115">
        <f>8.32+0.74</f>
        <v>9.06</v>
      </c>
      <c r="I21" s="83">
        <v>23.78</v>
      </c>
      <c r="J21" s="83">
        <v>14</v>
      </c>
      <c r="K21" s="83">
        <v>10.56</v>
      </c>
      <c r="L21" s="83">
        <v>253.82</v>
      </c>
      <c r="M21" s="83">
        <v>0</v>
      </c>
      <c r="N21" s="83">
        <v>31.36</v>
      </c>
      <c r="O21" s="83">
        <v>0</v>
      </c>
      <c r="P21" s="83">
        <v>314.57</v>
      </c>
    </row>
    <row r="22" spans="1:17" ht="15.75" thickBot="1" x14ac:dyDescent="0.3">
      <c r="A22" s="12"/>
      <c r="B22" s="13"/>
      <c r="C22" s="13"/>
      <c r="D22" s="13"/>
      <c r="E22" s="84">
        <f t="shared" ref="E22:P22" si="3">SUM(E10:E21)</f>
        <v>2734.420000000001</v>
      </c>
      <c r="F22" s="84">
        <f t="shared" si="3"/>
        <v>2377.7600000000002</v>
      </c>
      <c r="G22" s="84">
        <f t="shared" si="3"/>
        <v>2377.7600000000002</v>
      </c>
      <c r="H22" s="84">
        <f t="shared" si="3"/>
        <v>72.490000000000009</v>
      </c>
      <c r="I22" s="84">
        <f t="shared" si="3"/>
        <v>190.23000000000002</v>
      </c>
      <c r="J22" s="84">
        <f t="shared" si="3"/>
        <v>98</v>
      </c>
      <c r="K22" s="84">
        <f t="shared" si="3"/>
        <v>73.92</v>
      </c>
      <c r="L22" s="84">
        <f t="shared" si="3"/>
        <v>2041.1099999999997</v>
      </c>
      <c r="M22" s="84">
        <f t="shared" si="3"/>
        <v>0</v>
      </c>
      <c r="N22" s="84">
        <f t="shared" si="3"/>
        <v>228.14000000000004</v>
      </c>
      <c r="O22" s="84">
        <f t="shared" si="3"/>
        <v>0</v>
      </c>
      <c r="P22" s="85">
        <f t="shared" si="3"/>
        <v>-2766.48</v>
      </c>
    </row>
    <row r="23" spans="1:17" x14ac:dyDescent="0.25">
      <c r="N23" s="20"/>
    </row>
    <row r="24" spans="1:17" x14ac:dyDescent="0.25">
      <c r="N24" s="20"/>
    </row>
    <row r="25" spans="1:17" x14ac:dyDescent="0.25">
      <c r="A25" s="154" t="s">
        <v>16</v>
      </c>
      <c r="B25" s="154" t="s">
        <v>17</v>
      </c>
      <c r="C25" s="154" t="s">
        <v>18</v>
      </c>
      <c r="D25" s="154" t="s">
        <v>19</v>
      </c>
      <c r="E25" s="154" t="s">
        <v>20</v>
      </c>
      <c r="F25" s="179" t="s">
        <v>130</v>
      </c>
      <c r="G25" s="154" t="s">
        <v>7</v>
      </c>
      <c r="H25" s="155" t="s">
        <v>22</v>
      </c>
      <c r="I25" s="156"/>
      <c r="J25" s="156"/>
      <c r="K25" s="157"/>
    </row>
    <row r="26" spans="1:17" x14ac:dyDescent="0.25">
      <c r="A26" s="154"/>
      <c r="B26" s="154"/>
      <c r="C26" s="154"/>
      <c r="D26" s="154"/>
      <c r="E26" s="154"/>
      <c r="F26" s="179"/>
      <c r="G26" s="154"/>
      <c r="H26" s="177" t="s">
        <v>9</v>
      </c>
      <c r="I26" s="178"/>
      <c r="J26" s="11" t="s">
        <v>23</v>
      </c>
      <c r="K26" s="103" t="s">
        <v>24</v>
      </c>
    </row>
    <row r="27" spans="1:17" x14ac:dyDescent="0.25">
      <c r="A27" s="1" t="s">
        <v>69</v>
      </c>
      <c r="B27" s="81" t="s">
        <v>87</v>
      </c>
      <c r="C27" s="79"/>
      <c r="D27" s="80"/>
      <c r="E27" s="80"/>
      <c r="F27" s="80"/>
      <c r="G27" s="78"/>
      <c r="H27" s="149">
        <f t="shared" ref="H27:H38" si="4">M10</f>
        <v>0</v>
      </c>
      <c r="I27" s="150"/>
      <c r="J27" s="102">
        <f t="shared" ref="J27:J38" si="5">N10</f>
        <v>0</v>
      </c>
      <c r="K27" s="83">
        <f t="shared" ref="K27:K38" si="6">P10</f>
        <v>0</v>
      </c>
    </row>
    <row r="28" spans="1:17" x14ac:dyDescent="0.25">
      <c r="A28" s="2" t="s">
        <v>70</v>
      </c>
      <c r="B28" s="81" t="s">
        <v>87</v>
      </c>
      <c r="C28" s="77"/>
      <c r="D28" s="81"/>
      <c r="E28" s="81"/>
      <c r="F28" s="81"/>
      <c r="G28" s="76"/>
      <c r="H28" s="149">
        <f t="shared" si="4"/>
        <v>0</v>
      </c>
      <c r="I28" s="150"/>
      <c r="J28" s="102">
        <f t="shared" si="5"/>
        <v>0</v>
      </c>
      <c r="K28" s="83">
        <f t="shared" si="6"/>
        <v>0</v>
      </c>
    </row>
    <row r="29" spans="1:17" x14ac:dyDescent="0.25">
      <c r="A29" s="2" t="s">
        <v>71</v>
      </c>
      <c r="B29" s="81" t="s">
        <v>87</v>
      </c>
      <c r="C29" s="77"/>
      <c r="D29" s="81"/>
      <c r="E29" s="81"/>
      <c r="F29" s="81"/>
      <c r="G29" s="76"/>
      <c r="H29" s="149">
        <f t="shared" si="4"/>
        <v>0</v>
      </c>
      <c r="I29" s="150"/>
      <c r="J29" s="102">
        <f t="shared" si="5"/>
        <v>0</v>
      </c>
      <c r="K29" s="83">
        <f t="shared" si="6"/>
        <v>0</v>
      </c>
    </row>
    <row r="30" spans="1:17" x14ac:dyDescent="0.25">
      <c r="A30" s="2" t="s">
        <v>72</v>
      </c>
      <c r="B30" s="81" t="s">
        <v>87</v>
      </c>
      <c r="C30" s="77"/>
      <c r="D30" s="81"/>
      <c r="E30" s="81"/>
      <c r="F30" s="81"/>
      <c r="G30" s="76"/>
      <c r="H30" s="149">
        <f t="shared" si="4"/>
        <v>0</v>
      </c>
      <c r="I30" s="150"/>
      <c r="J30" s="102">
        <f t="shared" si="5"/>
        <v>0</v>
      </c>
      <c r="K30" s="83">
        <f t="shared" si="6"/>
        <v>0</v>
      </c>
    </row>
    <row r="31" spans="1:17" x14ac:dyDescent="0.25">
      <c r="A31" s="2" t="s">
        <v>71</v>
      </c>
      <c r="B31" s="81" t="s">
        <v>87</v>
      </c>
      <c r="C31" s="77"/>
      <c r="D31" s="81"/>
      <c r="E31" s="81"/>
      <c r="F31" s="81"/>
      <c r="G31" s="76"/>
      <c r="H31" s="149">
        <f t="shared" si="4"/>
        <v>0</v>
      </c>
      <c r="I31" s="150"/>
      <c r="J31" s="102">
        <f t="shared" si="5"/>
        <v>0</v>
      </c>
      <c r="K31" s="83">
        <f t="shared" si="6"/>
        <v>0</v>
      </c>
    </row>
    <row r="32" spans="1:17" x14ac:dyDescent="0.25">
      <c r="A32" s="6" t="s">
        <v>69</v>
      </c>
      <c r="B32" s="81">
        <v>64</v>
      </c>
      <c r="C32" s="77"/>
      <c r="D32" s="81"/>
      <c r="E32" s="81"/>
      <c r="F32" s="81">
        <v>24</v>
      </c>
      <c r="G32" s="76"/>
      <c r="H32" s="149">
        <f t="shared" si="4"/>
        <v>0</v>
      </c>
      <c r="I32" s="150"/>
      <c r="J32" s="102">
        <f t="shared" si="5"/>
        <v>39.979999999999997</v>
      </c>
      <c r="K32" s="83">
        <f t="shared" si="6"/>
        <v>-916.6</v>
      </c>
    </row>
    <row r="33" spans="1:11" x14ac:dyDescent="0.25">
      <c r="A33" s="6" t="s">
        <v>69</v>
      </c>
      <c r="B33" s="81">
        <v>20</v>
      </c>
      <c r="C33" s="77"/>
      <c r="D33" s="81"/>
      <c r="E33" s="81"/>
      <c r="F33" s="81"/>
      <c r="G33" s="76"/>
      <c r="H33" s="149">
        <f t="shared" si="4"/>
        <v>0</v>
      </c>
      <c r="I33" s="150"/>
      <c r="J33" s="102">
        <f t="shared" si="5"/>
        <v>31.36</v>
      </c>
      <c r="K33" s="83">
        <f t="shared" si="6"/>
        <v>-852.03</v>
      </c>
    </row>
    <row r="34" spans="1:11" x14ac:dyDescent="0.25">
      <c r="A34" s="6" t="s">
        <v>72</v>
      </c>
      <c r="B34" s="81">
        <v>20</v>
      </c>
      <c r="C34" s="77"/>
      <c r="D34" s="81">
        <v>10</v>
      </c>
      <c r="E34" s="81">
        <v>5</v>
      </c>
      <c r="F34" s="81"/>
      <c r="G34" s="76"/>
      <c r="H34" s="149">
        <f t="shared" si="4"/>
        <v>0</v>
      </c>
      <c r="I34" s="150"/>
      <c r="J34" s="102">
        <f t="shared" si="5"/>
        <v>31.36</v>
      </c>
      <c r="K34" s="83">
        <f t="shared" si="6"/>
        <v>-537.46</v>
      </c>
    </row>
    <row r="35" spans="1:11" x14ac:dyDescent="0.25">
      <c r="A35" s="6" t="s">
        <v>73</v>
      </c>
      <c r="B35" s="81">
        <v>20</v>
      </c>
      <c r="C35" s="77"/>
      <c r="D35" s="81"/>
      <c r="E35" s="81"/>
      <c r="F35" s="81"/>
      <c r="G35" s="76"/>
      <c r="H35" s="149">
        <f t="shared" si="4"/>
        <v>0</v>
      </c>
      <c r="I35" s="150"/>
      <c r="J35" s="102">
        <f t="shared" si="5"/>
        <v>31.36</v>
      </c>
      <c r="K35" s="83">
        <f t="shared" si="6"/>
        <v>-572.89</v>
      </c>
    </row>
    <row r="36" spans="1:11" x14ac:dyDescent="0.25">
      <c r="A36" s="6" t="s">
        <v>74</v>
      </c>
      <c r="B36" s="81">
        <v>20</v>
      </c>
      <c r="C36" s="77"/>
      <c r="D36" s="81"/>
      <c r="E36" s="81"/>
      <c r="F36" s="81"/>
      <c r="G36" s="76"/>
      <c r="H36" s="149">
        <f t="shared" si="4"/>
        <v>0</v>
      </c>
      <c r="I36" s="150"/>
      <c r="J36" s="102">
        <f t="shared" si="5"/>
        <v>31.36</v>
      </c>
      <c r="K36" s="83">
        <f t="shared" si="6"/>
        <v>-258.32</v>
      </c>
    </row>
    <row r="37" spans="1:11" x14ac:dyDescent="0.25">
      <c r="A37" s="6" t="s">
        <v>75</v>
      </c>
      <c r="B37" s="81">
        <v>20</v>
      </c>
      <c r="C37" s="77"/>
      <c r="D37" s="81"/>
      <c r="E37" s="81">
        <v>8</v>
      </c>
      <c r="F37" s="81"/>
      <c r="G37" s="76"/>
      <c r="H37" s="149">
        <f t="shared" si="4"/>
        <v>0</v>
      </c>
      <c r="I37" s="150"/>
      <c r="J37" s="102">
        <f t="shared" si="5"/>
        <v>31.36</v>
      </c>
      <c r="K37" s="83">
        <f t="shared" si="6"/>
        <v>56.25</v>
      </c>
    </row>
    <row r="38" spans="1:11" ht="15.75" thickBot="1" x14ac:dyDescent="0.3">
      <c r="A38" s="6" t="s">
        <v>76</v>
      </c>
      <c r="B38" s="81">
        <v>20</v>
      </c>
      <c r="C38" s="77"/>
      <c r="D38" s="81"/>
      <c r="E38" s="81">
        <v>16</v>
      </c>
      <c r="F38" s="81"/>
      <c r="G38" s="76"/>
      <c r="H38" s="149">
        <f t="shared" si="4"/>
        <v>0</v>
      </c>
      <c r="I38" s="150"/>
      <c r="J38" s="102">
        <f t="shared" si="5"/>
        <v>31.36</v>
      </c>
      <c r="K38" s="83">
        <f t="shared" si="6"/>
        <v>314.57</v>
      </c>
    </row>
    <row r="39" spans="1:11" ht="15.75" thickBot="1" x14ac:dyDescent="0.3">
      <c r="A39" s="72"/>
      <c r="B39" s="86">
        <f>SUM(B27:B38)</f>
        <v>184</v>
      </c>
      <c r="C39" s="86">
        <f t="shared" ref="C39:H39" si="7">SUM(C27:C38)</f>
        <v>0</v>
      </c>
      <c r="D39" s="86">
        <f t="shared" si="7"/>
        <v>10</v>
      </c>
      <c r="E39" s="86">
        <f t="shared" si="7"/>
        <v>29</v>
      </c>
      <c r="F39" s="86">
        <f t="shared" si="7"/>
        <v>24</v>
      </c>
      <c r="G39" s="86">
        <f t="shared" si="7"/>
        <v>0</v>
      </c>
      <c r="H39" s="151">
        <f t="shared" si="7"/>
        <v>0</v>
      </c>
      <c r="I39" s="152"/>
      <c r="J39" s="84">
        <f>SUM(J27:J38)</f>
        <v>228.14000000000004</v>
      </c>
      <c r="K39" s="85">
        <f>SUM(K27:K38)</f>
        <v>-2766.48</v>
      </c>
    </row>
  </sheetData>
  <mergeCells count="40">
    <mergeCell ref="A5:D5"/>
    <mergeCell ref="E5:F5"/>
    <mergeCell ref="G5:H5"/>
    <mergeCell ref="J5:K5"/>
    <mergeCell ref="L5:N5"/>
    <mergeCell ref="B2:B3"/>
    <mergeCell ref="D2:D3"/>
    <mergeCell ref="F2:I3"/>
    <mergeCell ref="L2:N3"/>
    <mergeCell ref="A4:D4"/>
    <mergeCell ref="A6:D6"/>
    <mergeCell ref="E6:F6"/>
    <mergeCell ref="G6:H6"/>
    <mergeCell ref="L6:N6"/>
    <mergeCell ref="A7:D7"/>
    <mergeCell ref="E7:F7"/>
    <mergeCell ref="G7:H7"/>
    <mergeCell ref="L7:N7"/>
    <mergeCell ref="H29:I29"/>
    <mergeCell ref="A25:A26"/>
    <mergeCell ref="B25:B26"/>
    <mergeCell ref="C25:C26"/>
    <mergeCell ref="D25:D26"/>
    <mergeCell ref="E25:E26"/>
    <mergeCell ref="F25:F26"/>
    <mergeCell ref="G25:G26"/>
    <mergeCell ref="H25:K25"/>
    <mergeCell ref="H26:I26"/>
    <mergeCell ref="H27:I27"/>
    <mergeCell ref="H28:I28"/>
    <mergeCell ref="H36:I36"/>
    <mergeCell ref="H37:I37"/>
    <mergeCell ref="H38:I38"/>
    <mergeCell ref="H39:I39"/>
    <mergeCell ref="H30:I30"/>
    <mergeCell ref="H31:I31"/>
    <mergeCell ref="H32:I32"/>
    <mergeCell ref="H33:I33"/>
    <mergeCell ref="H34:I34"/>
    <mergeCell ref="H35:I35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72E419-43DD-47CA-8845-5D4FE48ADE07}">
  <sheetPr>
    <tabColor rgb="FFFF0000"/>
  </sheetPr>
  <dimension ref="A2:Q39"/>
  <sheetViews>
    <sheetView topLeftCell="A4" workbookViewId="0">
      <selection activeCell="E11" sqref="E11:O12"/>
    </sheetView>
  </sheetViews>
  <sheetFormatPr defaultColWidth="11.42578125" defaultRowHeight="15" x14ac:dyDescent="0.25"/>
  <cols>
    <col min="1" max="1" width="11.140625" customWidth="1"/>
    <col min="2" max="2" width="12" customWidth="1"/>
    <col min="3" max="16" width="15.140625" customWidth="1"/>
  </cols>
  <sheetData>
    <row r="2" spans="1:16" x14ac:dyDescent="0.25">
      <c r="A2" s="3"/>
      <c r="B2" s="169" t="s">
        <v>0</v>
      </c>
      <c r="C2" s="14"/>
      <c r="D2" s="147">
        <v>2024</v>
      </c>
      <c r="E2" s="14"/>
      <c r="F2" s="169" t="s">
        <v>15</v>
      </c>
      <c r="G2" s="169"/>
      <c r="H2" s="169"/>
      <c r="I2" s="169"/>
      <c r="J2" s="14"/>
      <c r="K2" s="14"/>
      <c r="L2" s="147" t="s">
        <v>134</v>
      </c>
      <c r="M2" s="147"/>
      <c r="N2" s="147"/>
      <c r="O2" s="14"/>
      <c r="P2" s="15"/>
    </row>
    <row r="3" spans="1:16" x14ac:dyDescent="0.25">
      <c r="A3" s="8"/>
      <c r="B3" s="170"/>
      <c r="C3" s="16"/>
      <c r="D3" s="148"/>
      <c r="E3" s="16"/>
      <c r="F3" s="170"/>
      <c r="G3" s="170"/>
      <c r="H3" s="170"/>
      <c r="I3" s="170"/>
      <c r="J3" s="16"/>
      <c r="K3" s="16"/>
      <c r="L3" s="148"/>
      <c r="M3" s="148"/>
      <c r="N3" s="148"/>
      <c r="O3" s="16"/>
      <c r="P3" s="17"/>
    </row>
    <row r="4" spans="1:16" x14ac:dyDescent="0.25">
      <c r="A4" s="171" t="s">
        <v>58</v>
      </c>
      <c r="B4" s="172"/>
      <c r="C4" s="172"/>
      <c r="D4" s="173"/>
      <c r="E4" s="3"/>
      <c r="F4" s="4"/>
      <c r="G4" s="4"/>
      <c r="H4" s="4"/>
      <c r="I4" s="4"/>
      <c r="J4" s="4"/>
      <c r="K4" s="4"/>
      <c r="L4" s="4"/>
      <c r="M4" s="4"/>
      <c r="N4" s="4"/>
      <c r="O4" s="4"/>
      <c r="P4" s="5"/>
    </row>
    <row r="5" spans="1:16" x14ac:dyDescent="0.25">
      <c r="A5" s="174" t="s">
        <v>59</v>
      </c>
      <c r="B5" s="146"/>
      <c r="C5" s="146"/>
      <c r="D5" s="175"/>
      <c r="E5" s="162" t="s">
        <v>12</v>
      </c>
      <c r="F5" s="163"/>
      <c r="G5" s="153">
        <f>G6</f>
        <v>45323</v>
      </c>
      <c r="H5" s="153"/>
      <c r="J5" s="145" t="s">
        <v>135</v>
      </c>
      <c r="K5" s="145"/>
      <c r="L5" s="145" t="s">
        <v>131</v>
      </c>
      <c r="M5" s="145"/>
      <c r="N5" s="145"/>
      <c r="O5" t="s">
        <v>39</v>
      </c>
      <c r="P5" s="124" t="s">
        <v>120</v>
      </c>
    </row>
    <row r="6" spans="1:16" x14ac:dyDescent="0.25">
      <c r="A6" s="174" t="s">
        <v>60</v>
      </c>
      <c r="B6" s="146"/>
      <c r="C6" s="146"/>
      <c r="D6" s="175"/>
      <c r="E6" s="162" t="s">
        <v>13</v>
      </c>
      <c r="F6" s="163"/>
      <c r="G6" s="153">
        <v>45323</v>
      </c>
      <c r="H6" s="153"/>
      <c r="L6" s="146" t="s">
        <v>132</v>
      </c>
      <c r="M6" s="146"/>
      <c r="N6" s="146"/>
      <c r="P6" s="7"/>
    </row>
    <row r="7" spans="1:16" x14ac:dyDescent="0.25">
      <c r="A7" s="166" t="s">
        <v>83</v>
      </c>
      <c r="B7" s="167"/>
      <c r="C7" s="167"/>
      <c r="D7" s="168"/>
      <c r="E7" s="162" t="s">
        <v>14</v>
      </c>
      <c r="F7" s="163"/>
      <c r="G7" s="176">
        <v>45412</v>
      </c>
      <c r="H7" s="176"/>
      <c r="L7" s="146" t="s">
        <v>133</v>
      </c>
      <c r="M7" s="146"/>
      <c r="N7" s="146"/>
      <c r="P7" s="7"/>
    </row>
    <row r="8" spans="1:16" x14ac:dyDescent="0.25">
      <c r="A8" s="8"/>
      <c r="B8" s="9"/>
      <c r="C8" s="9"/>
      <c r="D8" s="10"/>
      <c r="E8" s="8"/>
      <c r="F8" s="9"/>
      <c r="G8" s="9"/>
      <c r="H8" s="9"/>
      <c r="I8" s="9"/>
      <c r="J8" s="9"/>
      <c r="K8" s="9"/>
      <c r="L8" s="9"/>
      <c r="M8" s="9"/>
      <c r="N8" s="9"/>
      <c r="O8" s="9"/>
      <c r="P8" s="10"/>
    </row>
    <row r="9" spans="1:16" x14ac:dyDescent="0.25">
      <c r="A9" s="11" t="s">
        <v>1</v>
      </c>
      <c r="B9" s="1" t="s">
        <v>3</v>
      </c>
      <c r="C9" s="122" t="s">
        <v>2</v>
      </c>
      <c r="D9" s="116" t="s">
        <v>26</v>
      </c>
      <c r="E9" s="116" t="s">
        <v>4</v>
      </c>
      <c r="F9" s="116" t="s">
        <v>5</v>
      </c>
      <c r="G9" s="122" t="s">
        <v>6</v>
      </c>
      <c r="H9" s="116" t="s">
        <v>7</v>
      </c>
      <c r="I9" s="116" t="s">
        <v>8</v>
      </c>
      <c r="J9" s="116" t="s">
        <v>114</v>
      </c>
      <c r="K9" s="116" t="s">
        <v>84</v>
      </c>
      <c r="L9" s="116" t="s">
        <v>9</v>
      </c>
      <c r="M9" s="116" t="s">
        <v>10</v>
      </c>
      <c r="N9" s="116" t="s">
        <v>78</v>
      </c>
      <c r="O9" s="116" t="s">
        <v>77</v>
      </c>
      <c r="P9" s="116" t="s">
        <v>11</v>
      </c>
    </row>
    <row r="10" spans="1:16" x14ac:dyDescent="0.25">
      <c r="A10" s="18" t="s">
        <v>27</v>
      </c>
      <c r="B10" s="87">
        <v>25</v>
      </c>
      <c r="C10" s="78" t="s">
        <v>25</v>
      </c>
      <c r="D10" s="78">
        <v>2</v>
      </c>
      <c r="E10" s="82">
        <v>0</v>
      </c>
      <c r="F10" s="82">
        <v>0</v>
      </c>
      <c r="G10" s="82">
        <f>F10</f>
        <v>0</v>
      </c>
      <c r="H10" s="114">
        <v>0</v>
      </c>
      <c r="I10" s="82">
        <v>0</v>
      </c>
      <c r="J10" s="82">
        <v>0</v>
      </c>
      <c r="K10" s="82">
        <v>0</v>
      </c>
      <c r="L10" s="82">
        <v>0</v>
      </c>
      <c r="M10" s="82">
        <v>0</v>
      </c>
      <c r="N10" s="82">
        <v>0</v>
      </c>
      <c r="O10" s="82">
        <v>0</v>
      </c>
      <c r="P10" s="82">
        <v>0</v>
      </c>
    </row>
    <row r="11" spans="1:16" x14ac:dyDescent="0.25">
      <c r="A11" s="19" t="s">
        <v>116</v>
      </c>
      <c r="B11" s="88">
        <v>25</v>
      </c>
      <c r="C11" s="76" t="s">
        <v>25</v>
      </c>
      <c r="D11" s="76">
        <v>2</v>
      </c>
      <c r="E11" s="83">
        <v>3085.11</v>
      </c>
      <c r="F11" s="83">
        <v>3085.11</v>
      </c>
      <c r="G11" s="83">
        <f t="shared" ref="G11:G21" si="0">F11</f>
        <v>3085.11</v>
      </c>
      <c r="H11" s="115">
        <f>86.38+7.71</f>
        <v>94.089999999999989</v>
      </c>
      <c r="I11" s="83">
        <v>246.81</v>
      </c>
      <c r="J11" s="83">
        <v>14</v>
      </c>
      <c r="K11" s="83">
        <v>115.5</v>
      </c>
      <c r="L11" s="83">
        <v>2628.71</v>
      </c>
      <c r="M11" s="83">
        <v>41.1</v>
      </c>
      <c r="N11" s="83">
        <v>50</v>
      </c>
      <c r="O11" s="83">
        <v>60.07</v>
      </c>
      <c r="P11" s="83">
        <v>2792.98</v>
      </c>
    </row>
    <row r="12" spans="1:16" x14ac:dyDescent="0.25">
      <c r="A12" s="19" t="s">
        <v>29</v>
      </c>
      <c r="B12" s="88">
        <v>25</v>
      </c>
      <c r="C12" s="76" t="s">
        <v>25</v>
      </c>
      <c r="D12" s="76">
        <v>2</v>
      </c>
      <c r="E12" s="83">
        <v>3085.11</v>
      </c>
      <c r="F12" s="83">
        <v>3085.11</v>
      </c>
      <c r="G12" s="83">
        <f t="shared" ref="G12:G13" si="1">F12</f>
        <v>3085.11</v>
      </c>
      <c r="H12" s="115">
        <f>86.38+7.71</f>
        <v>94.089999999999989</v>
      </c>
      <c r="I12" s="83">
        <v>246.81</v>
      </c>
      <c r="J12" s="83">
        <v>14</v>
      </c>
      <c r="K12" s="83">
        <v>115.5</v>
      </c>
      <c r="L12" s="83">
        <v>2628.71</v>
      </c>
      <c r="M12" s="83">
        <v>41.1</v>
      </c>
      <c r="N12" s="83">
        <v>50</v>
      </c>
      <c r="O12" s="83">
        <v>60.07</v>
      </c>
      <c r="P12" s="83">
        <v>2792.98</v>
      </c>
    </row>
    <row r="13" spans="1:16" x14ac:dyDescent="0.25">
      <c r="A13" s="19" t="s">
        <v>30</v>
      </c>
      <c r="B13" s="88">
        <v>25</v>
      </c>
      <c r="C13" s="76" t="s">
        <v>25</v>
      </c>
      <c r="D13" s="76">
        <v>2</v>
      </c>
      <c r="E13" s="83">
        <v>3085.11</v>
      </c>
      <c r="F13" s="83">
        <v>3085.11</v>
      </c>
      <c r="G13" s="83">
        <f t="shared" si="1"/>
        <v>3085.11</v>
      </c>
      <c r="H13" s="115">
        <f>86.38+7.71</f>
        <v>94.089999999999989</v>
      </c>
      <c r="I13" s="83">
        <v>246.81</v>
      </c>
      <c r="J13" s="83">
        <v>14</v>
      </c>
      <c r="K13" s="83">
        <v>115.5</v>
      </c>
      <c r="L13" s="83">
        <v>2628.71</v>
      </c>
      <c r="M13" s="83">
        <v>41.1</v>
      </c>
      <c r="N13" s="83">
        <v>50</v>
      </c>
      <c r="O13" s="83">
        <v>60.07</v>
      </c>
      <c r="P13" s="83">
        <v>2757.98</v>
      </c>
    </row>
    <row r="14" spans="1:16" x14ac:dyDescent="0.25">
      <c r="A14" s="19" t="s">
        <v>31</v>
      </c>
      <c r="B14" s="88">
        <v>25</v>
      </c>
      <c r="C14" s="76" t="s">
        <v>25</v>
      </c>
      <c r="D14" s="76">
        <v>2</v>
      </c>
      <c r="E14" s="83">
        <v>0</v>
      </c>
      <c r="F14" s="83">
        <v>0</v>
      </c>
      <c r="G14" s="83">
        <f t="shared" si="0"/>
        <v>0</v>
      </c>
      <c r="H14" s="115">
        <v>0</v>
      </c>
      <c r="I14" s="83">
        <v>0</v>
      </c>
      <c r="J14" s="83">
        <v>0</v>
      </c>
      <c r="K14" s="83">
        <v>0</v>
      </c>
      <c r="L14" s="83">
        <v>0</v>
      </c>
      <c r="M14" s="83">
        <v>0</v>
      </c>
      <c r="N14" s="83">
        <v>0</v>
      </c>
      <c r="O14" s="83">
        <v>0</v>
      </c>
      <c r="P14" s="83">
        <v>0</v>
      </c>
    </row>
    <row r="15" spans="1:16" x14ac:dyDescent="0.25">
      <c r="A15" s="19" t="s">
        <v>32</v>
      </c>
      <c r="B15" s="88">
        <v>25</v>
      </c>
      <c r="C15" s="76" t="s">
        <v>25</v>
      </c>
      <c r="D15" s="76">
        <v>2</v>
      </c>
      <c r="E15" s="83">
        <v>0</v>
      </c>
      <c r="F15" s="83">
        <v>0</v>
      </c>
      <c r="G15" s="83">
        <f t="shared" si="0"/>
        <v>0</v>
      </c>
      <c r="H15" s="115">
        <v>0</v>
      </c>
      <c r="I15" s="83">
        <v>0</v>
      </c>
      <c r="J15" s="83">
        <v>0</v>
      </c>
      <c r="K15" s="83">
        <v>0</v>
      </c>
      <c r="L15" s="83">
        <v>0</v>
      </c>
      <c r="M15" s="83">
        <v>0</v>
      </c>
      <c r="N15" s="83">
        <v>0</v>
      </c>
      <c r="O15" s="83">
        <v>0</v>
      </c>
      <c r="P15" s="83">
        <v>0</v>
      </c>
    </row>
    <row r="16" spans="1:16" x14ac:dyDescent="0.25">
      <c r="A16" s="19" t="s">
        <v>33</v>
      </c>
      <c r="B16" s="88">
        <v>25</v>
      </c>
      <c r="C16" s="76" t="s">
        <v>25</v>
      </c>
      <c r="D16" s="76">
        <v>2</v>
      </c>
      <c r="E16" s="83">
        <v>0</v>
      </c>
      <c r="F16" s="83">
        <v>0</v>
      </c>
      <c r="G16" s="83">
        <f t="shared" si="0"/>
        <v>0</v>
      </c>
      <c r="H16" s="115">
        <v>0</v>
      </c>
      <c r="I16" s="83">
        <v>0</v>
      </c>
      <c r="J16" s="83">
        <v>0</v>
      </c>
      <c r="K16" s="83">
        <v>0</v>
      </c>
      <c r="L16" s="83">
        <v>0</v>
      </c>
      <c r="M16" s="83">
        <v>0</v>
      </c>
      <c r="N16" s="83">
        <v>0</v>
      </c>
      <c r="O16" s="83">
        <v>0</v>
      </c>
      <c r="P16" s="83">
        <v>0</v>
      </c>
    </row>
    <row r="17" spans="1:17" x14ac:dyDescent="0.25">
      <c r="A17" s="19" t="s">
        <v>34</v>
      </c>
      <c r="B17" s="88">
        <v>25</v>
      </c>
      <c r="C17" s="76" t="s">
        <v>25</v>
      </c>
      <c r="D17" s="76">
        <v>2</v>
      </c>
      <c r="E17" s="83">
        <v>0</v>
      </c>
      <c r="F17" s="83">
        <v>0</v>
      </c>
      <c r="G17" s="83">
        <f t="shared" si="0"/>
        <v>0</v>
      </c>
      <c r="H17" s="115">
        <v>0</v>
      </c>
      <c r="I17" s="83">
        <v>0</v>
      </c>
      <c r="J17" s="83">
        <v>0</v>
      </c>
      <c r="K17" s="83">
        <v>0</v>
      </c>
      <c r="L17" s="83">
        <v>0</v>
      </c>
      <c r="M17" s="83">
        <v>0</v>
      </c>
      <c r="N17" s="83">
        <v>0</v>
      </c>
      <c r="O17" s="83">
        <v>0</v>
      </c>
      <c r="P17" s="83">
        <v>0</v>
      </c>
    </row>
    <row r="18" spans="1:17" x14ac:dyDescent="0.25">
      <c r="A18" s="19" t="s">
        <v>35</v>
      </c>
      <c r="B18" s="88">
        <v>25</v>
      </c>
      <c r="C18" s="76" t="s">
        <v>25</v>
      </c>
      <c r="D18" s="76">
        <v>2</v>
      </c>
      <c r="E18" s="83">
        <v>0</v>
      </c>
      <c r="F18" s="83">
        <v>0</v>
      </c>
      <c r="G18" s="83">
        <f t="shared" ref="G18:G21" si="2">F18</f>
        <v>0</v>
      </c>
      <c r="H18" s="115">
        <v>0</v>
      </c>
      <c r="I18" s="83">
        <v>0</v>
      </c>
      <c r="J18" s="83">
        <v>0</v>
      </c>
      <c r="K18" s="83">
        <v>0</v>
      </c>
      <c r="L18" s="83">
        <v>0</v>
      </c>
      <c r="M18" s="83">
        <v>0</v>
      </c>
      <c r="N18" s="83">
        <v>0</v>
      </c>
      <c r="O18" s="83">
        <v>0</v>
      </c>
      <c r="P18" s="83">
        <v>0</v>
      </c>
      <c r="Q18" s="20"/>
    </row>
    <row r="19" spans="1:17" x14ac:dyDescent="0.25">
      <c r="A19" s="19" t="s">
        <v>36</v>
      </c>
      <c r="B19" s="88">
        <v>25</v>
      </c>
      <c r="C19" s="76" t="s">
        <v>25</v>
      </c>
      <c r="D19" s="76">
        <v>2</v>
      </c>
      <c r="E19" s="83">
        <v>0</v>
      </c>
      <c r="F19" s="83">
        <v>0</v>
      </c>
      <c r="G19" s="83">
        <f t="shared" si="2"/>
        <v>0</v>
      </c>
      <c r="H19" s="115">
        <v>0</v>
      </c>
      <c r="I19" s="83">
        <v>0</v>
      </c>
      <c r="J19" s="83">
        <v>0</v>
      </c>
      <c r="K19" s="83">
        <v>0</v>
      </c>
      <c r="L19" s="83">
        <v>0</v>
      </c>
      <c r="M19" s="83">
        <v>0</v>
      </c>
      <c r="N19" s="83">
        <v>0</v>
      </c>
      <c r="O19" s="83">
        <v>0</v>
      </c>
      <c r="P19" s="83">
        <v>0</v>
      </c>
      <c r="Q19" s="20"/>
    </row>
    <row r="20" spans="1:17" x14ac:dyDescent="0.25">
      <c r="A20" s="19" t="s">
        <v>37</v>
      </c>
      <c r="B20" s="88">
        <v>25</v>
      </c>
      <c r="C20" s="76" t="s">
        <v>25</v>
      </c>
      <c r="D20" s="76">
        <v>2</v>
      </c>
      <c r="E20" s="83">
        <v>0</v>
      </c>
      <c r="F20" s="83">
        <v>0</v>
      </c>
      <c r="G20" s="83">
        <f t="shared" si="2"/>
        <v>0</v>
      </c>
      <c r="H20" s="115">
        <v>0</v>
      </c>
      <c r="I20" s="83">
        <v>0</v>
      </c>
      <c r="J20" s="83">
        <v>0</v>
      </c>
      <c r="K20" s="83">
        <v>0</v>
      </c>
      <c r="L20" s="83">
        <v>0</v>
      </c>
      <c r="M20" s="83">
        <v>0</v>
      </c>
      <c r="N20" s="83">
        <v>0</v>
      </c>
      <c r="O20" s="83">
        <v>0</v>
      </c>
      <c r="P20" s="83">
        <v>0</v>
      </c>
    </row>
    <row r="21" spans="1:17" ht="15.75" thickBot="1" x14ac:dyDescent="0.3">
      <c r="A21" s="19" t="s">
        <v>38</v>
      </c>
      <c r="B21" s="88">
        <v>25</v>
      </c>
      <c r="C21" s="76" t="s">
        <v>25</v>
      </c>
      <c r="D21" s="76">
        <v>2</v>
      </c>
      <c r="E21" s="83">
        <v>0</v>
      </c>
      <c r="F21" s="83">
        <v>0</v>
      </c>
      <c r="G21" s="83">
        <f t="shared" si="2"/>
        <v>0</v>
      </c>
      <c r="H21" s="115">
        <v>0</v>
      </c>
      <c r="I21" s="83">
        <v>0</v>
      </c>
      <c r="J21" s="83">
        <v>0</v>
      </c>
      <c r="K21" s="83">
        <v>0</v>
      </c>
      <c r="L21" s="83">
        <v>0</v>
      </c>
      <c r="M21" s="83">
        <v>0</v>
      </c>
      <c r="N21" s="83">
        <v>0</v>
      </c>
      <c r="O21" s="83">
        <v>0</v>
      </c>
      <c r="P21" s="83">
        <v>0</v>
      </c>
    </row>
    <row r="22" spans="1:17" ht="15.75" thickBot="1" x14ac:dyDescent="0.3">
      <c r="A22" s="12"/>
      <c r="B22" s="13"/>
      <c r="C22" s="13"/>
      <c r="D22" s="13"/>
      <c r="E22" s="84">
        <f t="shared" ref="E22:P22" si="3">SUM(E10:E21)</f>
        <v>9255.33</v>
      </c>
      <c r="F22" s="84">
        <f t="shared" si="3"/>
        <v>9255.33</v>
      </c>
      <c r="G22" s="84">
        <f t="shared" si="3"/>
        <v>9255.33</v>
      </c>
      <c r="H22" s="84">
        <f t="shared" si="3"/>
        <v>282.27</v>
      </c>
      <c r="I22" s="84">
        <f t="shared" si="3"/>
        <v>740.43000000000006</v>
      </c>
      <c r="J22" s="84">
        <f t="shared" si="3"/>
        <v>42</v>
      </c>
      <c r="K22" s="84">
        <f t="shared" si="3"/>
        <v>346.5</v>
      </c>
      <c r="L22" s="84">
        <f t="shared" si="3"/>
        <v>7886.13</v>
      </c>
      <c r="M22" s="84">
        <f t="shared" si="3"/>
        <v>123.30000000000001</v>
      </c>
      <c r="N22" s="84">
        <f t="shared" si="3"/>
        <v>150</v>
      </c>
      <c r="O22" s="84">
        <f t="shared" si="3"/>
        <v>180.21</v>
      </c>
      <c r="P22" s="85">
        <f t="shared" si="3"/>
        <v>8343.94</v>
      </c>
    </row>
    <row r="23" spans="1:17" x14ac:dyDescent="0.25">
      <c r="N23" s="20"/>
    </row>
    <row r="24" spans="1:17" x14ac:dyDescent="0.25">
      <c r="N24" s="20"/>
    </row>
    <row r="25" spans="1:17" x14ac:dyDescent="0.25">
      <c r="A25" s="154" t="s">
        <v>16</v>
      </c>
      <c r="B25" s="154" t="s">
        <v>17</v>
      </c>
      <c r="C25" s="154" t="s">
        <v>18</v>
      </c>
      <c r="D25" s="154" t="s">
        <v>19</v>
      </c>
      <c r="E25" s="154" t="s">
        <v>20</v>
      </c>
      <c r="F25" s="154" t="s">
        <v>21</v>
      </c>
      <c r="G25" s="154" t="s">
        <v>7</v>
      </c>
      <c r="H25" s="155" t="s">
        <v>22</v>
      </c>
      <c r="I25" s="156"/>
      <c r="J25" s="156"/>
      <c r="K25" s="157"/>
    </row>
    <row r="26" spans="1:17" x14ac:dyDescent="0.25">
      <c r="A26" s="154"/>
      <c r="B26" s="154"/>
      <c r="C26" s="154"/>
      <c r="D26" s="154"/>
      <c r="E26" s="154"/>
      <c r="F26" s="154"/>
      <c r="G26" s="154"/>
      <c r="H26" s="177" t="s">
        <v>9</v>
      </c>
      <c r="I26" s="178"/>
      <c r="J26" s="11" t="s">
        <v>23</v>
      </c>
      <c r="K26" s="103" t="s">
        <v>24</v>
      </c>
    </row>
    <row r="27" spans="1:17" x14ac:dyDescent="0.25">
      <c r="A27" s="1" t="s">
        <v>69</v>
      </c>
      <c r="B27" s="81" t="s">
        <v>87</v>
      </c>
      <c r="C27" s="79"/>
      <c r="D27" s="80"/>
      <c r="E27" s="80"/>
      <c r="F27" s="80"/>
      <c r="G27" s="78"/>
      <c r="H27" s="149">
        <f t="shared" ref="H27:H38" si="4">M10</f>
        <v>0</v>
      </c>
      <c r="I27" s="150"/>
      <c r="J27" s="102">
        <f t="shared" ref="J27:J38" si="5">N10</f>
        <v>0</v>
      </c>
      <c r="K27" s="83">
        <f t="shared" ref="K27:K38" si="6">P10</f>
        <v>0</v>
      </c>
    </row>
    <row r="28" spans="1:17" x14ac:dyDescent="0.25">
      <c r="A28" s="2" t="s">
        <v>70</v>
      </c>
      <c r="B28" s="81">
        <v>173</v>
      </c>
      <c r="C28" s="77"/>
      <c r="D28" s="81"/>
      <c r="E28" s="81"/>
      <c r="F28" s="81"/>
      <c r="G28" s="76"/>
      <c r="H28" s="149">
        <f t="shared" si="4"/>
        <v>41.1</v>
      </c>
      <c r="I28" s="150"/>
      <c r="J28" s="102">
        <f t="shared" si="5"/>
        <v>50</v>
      </c>
      <c r="K28" s="83">
        <f t="shared" si="6"/>
        <v>2792.98</v>
      </c>
    </row>
    <row r="29" spans="1:17" x14ac:dyDescent="0.25">
      <c r="A29" s="2" t="s">
        <v>71</v>
      </c>
      <c r="B29" s="81">
        <v>173</v>
      </c>
      <c r="C29" s="77"/>
      <c r="D29" s="81"/>
      <c r="E29" s="81"/>
      <c r="F29" s="81"/>
      <c r="G29" s="76"/>
      <c r="H29" s="149">
        <f t="shared" si="4"/>
        <v>41.1</v>
      </c>
      <c r="I29" s="150"/>
      <c r="J29" s="102">
        <f t="shared" si="5"/>
        <v>50</v>
      </c>
      <c r="K29" s="83">
        <f t="shared" si="6"/>
        <v>2792.98</v>
      </c>
    </row>
    <row r="30" spans="1:17" x14ac:dyDescent="0.25">
      <c r="A30" s="2" t="s">
        <v>72</v>
      </c>
      <c r="B30" s="81">
        <v>173</v>
      </c>
      <c r="C30" s="77"/>
      <c r="D30" s="81">
        <v>52</v>
      </c>
      <c r="E30" s="81">
        <v>8</v>
      </c>
      <c r="F30" s="81"/>
      <c r="G30" s="76"/>
      <c r="H30" s="149">
        <f t="shared" si="4"/>
        <v>41.1</v>
      </c>
      <c r="I30" s="150"/>
      <c r="J30" s="102">
        <f t="shared" si="5"/>
        <v>50</v>
      </c>
      <c r="K30" s="83">
        <f t="shared" si="6"/>
        <v>2757.98</v>
      </c>
    </row>
    <row r="31" spans="1:17" x14ac:dyDescent="0.25">
      <c r="A31" s="2" t="s">
        <v>71</v>
      </c>
      <c r="B31" s="81" t="s">
        <v>87</v>
      </c>
      <c r="C31" s="77"/>
      <c r="D31" s="81"/>
      <c r="E31" s="81"/>
      <c r="F31" s="81"/>
      <c r="G31" s="76"/>
      <c r="H31" s="149">
        <f t="shared" si="4"/>
        <v>0</v>
      </c>
      <c r="I31" s="150"/>
      <c r="J31" s="102">
        <f t="shared" si="5"/>
        <v>0</v>
      </c>
      <c r="K31" s="83">
        <f t="shared" si="6"/>
        <v>0</v>
      </c>
    </row>
    <row r="32" spans="1:17" x14ac:dyDescent="0.25">
      <c r="A32" s="6" t="s">
        <v>69</v>
      </c>
      <c r="B32" s="81" t="s">
        <v>87</v>
      </c>
      <c r="C32" s="77"/>
      <c r="D32" s="81"/>
      <c r="E32" s="81"/>
      <c r="F32" s="81"/>
      <c r="G32" s="76"/>
      <c r="H32" s="149">
        <f t="shared" si="4"/>
        <v>0</v>
      </c>
      <c r="I32" s="150"/>
      <c r="J32" s="102">
        <f t="shared" si="5"/>
        <v>0</v>
      </c>
      <c r="K32" s="83">
        <f t="shared" si="6"/>
        <v>0</v>
      </c>
    </row>
    <row r="33" spans="1:11" x14ac:dyDescent="0.25">
      <c r="A33" s="6" t="s">
        <v>69</v>
      </c>
      <c r="B33" s="81" t="s">
        <v>87</v>
      </c>
      <c r="C33" s="77"/>
      <c r="D33" s="81"/>
      <c r="E33" s="81"/>
      <c r="F33" s="81"/>
      <c r="G33" s="76"/>
      <c r="H33" s="149">
        <f t="shared" si="4"/>
        <v>0</v>
      </c>
      <c r="I33" s="150"/>
      <c r="J33" s="102">
        <f t="shared" si="5"/>
        <v>0</v>
      </c>
      <c r="K33" s="83">
        <f t="shared" si="6"/>
        <v>0</v>
      </c>
    </row>
    <row r="34" spans="1:11" x14ac:dyDescent="0.25">
      <c r="A34" s="6" t="s">
        <v>72</v>
      </c>
      <c r="B34" s="81" t="s">
        <v>87</v>
      </c>
      <c r="C34" s="77"/>
      <c r="D34" s="81"/>
      <c r="E34" s="81"/>
      <c r="F34" s="81"/>
      <c r="G34" s="76"/>
      <c r="H34" s="149">
        <f t="shared" si="4"/>
        <v>0</v>
      </c>
      <c r="I34" s="150"/>
      <c r="J34" s="102">
        <f t="shared" si="5"/>
        <v>0</v>
      </c>
      <c r="K34" s="83">
        <f t="shared" si="6"/>
        <v>0</v>
      </c>
    </row>
    <row r="35" spans="1:11" x14ac:dyDescent="0.25">
      <c r="A35" s="6" t="s">
        <v>73</v>
      </c>
      <c r="B35" s="81" t="s">
        <v>87</v>
      </c>
      <c r="C35" s="77"/>
      <c r="D35" s="81"/>
      <c r="E35" s="81"/>
      <c r="F35" s="81"/>
      <c r="G35" s="76"/>
      <c r="H35" s="149">
        <f t="shared" si="4"/>
        <v>0</v>
      </c>
      <c r="I35" s="150"/>
      <c r="J35" s="102">
        <f t="shared" si="5"/>
        <v>0</v>
      </c>
      <c r="K35" s="83">
        <f t="shared" si="6"/>
        <v>0</v>
      </c>
    </row>
    <row r="36" spans="1:11" x14ac:dyDescent="0.25">
      <c r="A36" s="6" t="s">
        <v>74</v>
      </c>
      <c r="B36" s="81" t="s">
        <v>87</v>
      </c>
      <c r="C36" s="77"/>
      <c r="D36" s="81"/>
      <c r="E36" s="81"/>
      <c r="F36" s="81"/>
      <c r="G36" s="76"/>
      <c r="H36" s="149">
        <f t="shared" si="4"/>
        <v>0</v>
      </c>
      <c r="I36" s="150"/>
      <c r="J36" s="102">
        <f t="shared" si="5"/>
        <v>0</v>
      </c>
      <c r="K36" s="83">
        <f t="shared" si="6"/>
        <v>0</v>
      </c>
    </row>
    <row r="37" spans="1:11" x14ac:dyDescent="0.25">
      <c r="A37" s="6" t="s">
        <v>75</v>
      </c>
      <c r="B37" s="81" t="s">
        <v>87</v>
      </c>
      <c r="C37" s="77"/>
      <c r="D37" s="81"/>
      <c r="E37" s="81"/>
      <c r="F37" s="81"/>
      <c r="G37" s="76"/>
      <c r="H37" s="149">
        <f t="shared" si="4"/>
        <v>0</v>
      </c>
      <c r="I37" s="150"/>
      <c r="J37" s="102">
        <f t="shared" si="5"/>
        <v>0</v>
      </c>
      <c r="K37" s="83">
        <f t="shared" si="6"/>
        <v>0</v>
      </c>
    </row>
    <row r="38" spans="1:11" ht="15.75" thickBot="1" x14ac:dyDescent="0.3">
      <c r="A38" s="6" t="s">
        <v>76</v>
      </c>
      <c r="B38" s="81" t="s">
        <v>87</v>
      </c>
      <c r="C38" s="77"/>
      <c r="D38" s="81"/>
      <c r="E38" s="81"/>
      <c r="F38" s="81"/>
      <c r="G38" s="76"/>
      <c r="H38" s="149">
        <f t="shared" si="4"/>
        <v>0</v>
      </c>
      <c r="I38" s="150"/>
      <c r="J38" s="102">
        <f t="shared" si="5"/>
        <v>0</v>
      </c>
      <c r="K38" s="83">
        <f t="shared" si="6"/>
        <v>0</v>
      </c>
    </row>
    <row r="39" spans="1:11" ht="15.75" thickBot="1" x14ac:dyDescent="0.3">
      <c r="A39" s="72"/>
      <c r="B39" s="86">
        <f>SUM(B27:B38)</f>
        <v>519</v>
      </c>
      <c r="C39" s="86">
        <f t="shared" ref="C39:H39" si="7">SUM(C27:C38)</f>
        <v>0</v>
      </c>
      <c r="D39" s="86">
        <f t="shared" si="7"/>
        <v>52</v>
      </c>
      <c r="E39" s="86">
        <f t="shared" si="7"/>
        <v>8</v>
      </c>
      <c r="F39" s="86">
        <f t="shared" si="7"/>
        <v>0</v>
      </c>
      <c r="G39" s="86">
        <f t="shared" si="7"/>
        <v>0</v>
      </c>
      <c r="H39" s="151">
        <f t="shared" si="7"/>
        <v>123.30000000000001</v>
      </c>
      <c r="I39" s="152"/>
      <c r="J39" s="84">
        <f>SUM(J27:J38)</f>
        <v>150</v>
      </c>
      <c r="K39" s="85">
        <f>SUM(K27:K38)</f>
        <v>8343.94</v>
      </c>
    </row>
  </sheetData>
  <mergeCells count="40">
    <mergeCell ref="A5:D5"/>
    <mergeCell ref="E5:F5"/>
    <mergeCell ref="G5:H5"/>
    <mergeCell ref="J5:K5"/>
    <mergeCell ref="L5:N5"/>
    <mergeCell ref="B2:B3"/>
    <mergeCell ref="D2:D3"/>
    <mergeCell ref="F2:I3"/>
    <mergeCell ref="L2:N3"/>
    <mergeCell ref="A4:D4"/>
    <mergeCell ref="A6:D6"/>
    <mergeCell ref="E6:F6"/>
    <mergeCell ref="G6:H6"/>
    <mergeCell ref="L6:N6"/>
    <mergeCell ref="A7:D7"/>
    <mergeCell ref="E7:F7"/>
    <mergeCell ref="G7:H7"/>
    <mergeCell ref="L7:N7"/>
    <mergeCell ref="H29:I29"/>
    <mergeCell ref="A25:A26"/>
    <mergeCell ref="B25:B26"/>
    <mergeCell ref="C25:C26"/>
    <mergeCell ref="D25:D26"/>
    <mergeCell ref="E25:E26"/>
    <mergeCell ref="F25:F26"/>
    <mergeCell ref="G25:G26"/>
    <mergeCell ref="H25:K25"/>
    <mergeCell ref="H26:I26"/>
    <mergeCell ref="H27:I27"/>
    <mergeCell ref="H28:I28"/>
    <mergeCell ref="H36:I36"/>
    <mergeCell ref="H37:I37"/>
    <mergeCell ref="H38:I38"/>
    <mergeCell ref="H39:I39"/>
    <mergeCell ref="H30:I30"/>
    <mergeCell ref="H31:I31"/>
    <mergeCell ref="H32:I32"/>
    <mergeCell ref="H33:I33"/>
    <mergeCell ref="H34:I34"/>
    <mergeCell ref="H35:I35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369B7B-044A-489F-BCBD-EA35B21B3E64}">
  <sheetPr>
    <tabColor rgb="FFFF0000"/>
  </sheetPr>
  <dimension ref="A2:Q39"/>
  <sheetViews>
    <sheetView topLeftCell="A4" workbookViewId="0">
      <selection activeCell="M36" sqref="M36"/>
    </sheetView>
  </sheetViews>
  <sheetFormatPr defaultColWidth="11.42578125" defaultRowHeight="15" x14ac:dyDescent="0.25"/>
  <cols>
    <col min="1" max="1" width="11.140625" customWidth="1"/>
    <col min="2" max="2" width="12" customWidth="1"/>
    <col min="3" max="16" width="15.140625" customWidth="1"/>
  </cols>
  <sheetData>
    <row r="2" spans="1:16" x14ac:dyDescent="0.25">
      <c r="A2" s="3"/>
      <c r="B2" s="169" t="s">
        <v>0</v>
      </c>
      <c r="C2" s="14"/>
      <c r="D2" s="147">
        <v>2024</v>
      </c>
      <c r="E2" s="14"/>
      <c r="F2" s="169" t="s">
        <v>15</v>
      </c>
      <c r="G2" s="169"/>
      <c r="H2" s="169"/>
      <c r="I2" s="169"/>
      <c r="J2" s="14"/>
      <c r="K2" s="14"/>
      <c r="L2" s="147" t="s">
        <v>137</v>
      </c>
      <c r="M2" s="147"/>
      <c r="N2" s="147"/>
      <c r="O2" s="14"/>
      <c r="P2" s="15"/>
    </row>
    <row r="3" spans="1:16" x14ac:dyDescent="0.25">
      <c r="A3" s="8"/>
      <c r="B3" s="170"/>
      <c r="C3" s="16"/>
      <c r="D3" s="148"/>
      <c r="E3" s="16"/>
      <c r="F3" s="170"/>
      <c r="G3" s="170"/>
      <c r="H3" s="170"/>
      <c r="I3" s="170"/>
      <c r="J3" s="16"/>
      <c r="K3" s="16"/>
      <c r="L3" s="148"/>
      <c r="M3" s="148"/>
      <c r="N3" s="148"/>
      <c r="O3" s="16"/>
      <c r="P3" s="17"/>
    </row>
    <row r="4" spans="1:16" x14ac:dyDescent="0.25">
      <c r="A4" s="171" t="s">
        <v>58</v>
      </c>
      <c r="B4" s="172"/>
      <c r="C4" s="172"/>
      <c r="D4" s="173"/>
      <c r="E4" s="3"/>
      <c r="F4" s="4"/>
      <c r="G4" s="4"/>
      <c r="H4" s="4"/>
      <c r="I4" s="4"/>
      <c r="J4" s="4"/>
      <c r="K4" s="4"/>
      <c r="L4" s="4"/>
      <c r="M4" s="4"/>
      <c r="N4" s="4"/>
      <c r="O4" s="4"/>
      <c r="P4" s="5"/>
    </row>
    <row r="5" spans="1:16" x14ac:dyDescent="0.25">
      <c r="A5" s="174" t="s">
        <v>59</v>
      </c>
      <c r="B5" s="146"/>
      <c r="C5" s="146"/>
      <c r="D5" s="175"/>
      <c r="E5" s="162" t="s">
        <v>12</v>
      </c>
      <c r="F5" s="163"/>
      <c r="G5" s="153">
        <f>G6</f>
        <v>45337</v>
      </c>
      <c r="H5" s="153"/>
      <c r="J5" s="145" t="s">
        <v>135</v>
      </c>
      <c r="K5" s="145"/>
      <c r="L5" s="145" t="s">
        <v>136</v>
      </c>
      <c r="M5" s="145"/>
      <c r="N5" s="145"/>
      <c r="O5" t="s">
        <v>39</v>
      </c>
      <c r="P5" s="124" t="s">
        <v>123</v>
      </c>
    </row>
    <row r="6" spans="1:16" x14ac:dyDescent="0.25">
      <c r="A6" s="174" t="s">
        <v>60</v>
      </c>
      <c r="B6" s="146"/>
      <c r="C6" s="146"/>
      <c r="D6" s="175"/>
      <c r="E6" s="162" t="s">
        <v>13</v>
      </c>
      <c r="F6" s="163"/>
      <c r="G6" s="153">
        <v>45337</v>
      </c>
      <c r="H6" s="153"/>
      <c r="L6" s="146" t="s">
        <v>132</v>
      </c>
      <c r="M6" s="146"/>
      <c r="N6" s="146"/>
      <c r="P6" s="7"/>
    </row>
    <row r="7" spans="1:16" x14ac:dyDescent="0.25">
      <c r="A7" s="166" t="s">
        <v>83</v>
      </c>
      <c r="B7" s="167"/>
      <c r="C7" s="167"/>
      <c r="D7" s="168"/>
      <c r="E7" s="162" t="s">
        <v>14</v>
      </c>
      <c r="F7" s="163"/>
      <c r="G7" s="176">
        <v>45412</v>
      </c>
      <c r="H7" s="176"/>
      <c r="L7" s="146" t="s">
        <v>133</v>
      </c>
      <c r="M7" s="146"/>
      <c r="N7" s="146"/>
      <c r="P7" s="7"/>
    </row>
    <row r="8" spans="1:16" x14ac:dyDescent="0.25">
      <c r="A8" s="8"/>
      <c r="B8" s="9"/>
      <c r="C8" s="9"/>
      <c r="D8" s="10"/>
      <c r="E8" s="8"/>
      <c r="F8" s="9"/>
      <c r="G8" s="9"/>
      <c r="H8" s="9"/>
      <c r="I8" s="9"/>
      <c r="J8" s="9"/>
      <c r="K8" s="9"/>
      <c r="L8" s="9"/>
      <c r="M8" s="9"/>
      <c r="N8" s="9"/>
      <c r="O8" s="9"/>
      <c r="P8" s="10"/>
    </row>
    <row r="9" spans="1:16" x14ac:dyDescent="0.25">
      <c r="A9" s="11" t="s">
        <v>1</v>
      </c>
      <c r="B9" s="1" t="s">
        <v>3</v>
      </c>
      <c r="C9" s="122" t="s">
        <v>2</v>
      </c>
      <c r="D9" s="116" t="s">
        <v>26</v>
      </c>
      <c r="E9" s="116" t="s">
        <v>4</v>
      </c>
      <c r="F9" s="116" t="s">
        <v>5</v>
      </c>
      <c r="G9" s="122" t="s">
        <v>6</v>
      </c>
      <c r="H9" s="116" t="s">
        <v>7</v>
      </c>
      <c r="I9" s="116" t="s">
        <v>8</v>
      </c>
      <c r="J9" s="116" t="s">
        <v>114</v>
      </c>
      <c r="K9" s="116" t="s">
        <v>84</v>
      </c>
      <c r="L9" s="116" t="s">
        <v>9</v>
      </c>
      <c r="M9" s="116" t="s">
        <v>10</v>
      </c>
      <c r="N9" s="116" t="s">
        <v>78</v>
      </c>
      <c r="O9" s="116" t="s">
        <v>77</v>
      </c>
      <c r="P9" s="116" t="s">
        <v>11</v>
      </c>
    </row>
    <row r="10" spans="1:16" x14ac:dyDescent="0.25">
      <c r="A10" s="18" t="s">
        <v>27</v>
      </c>
      <c r="B10" s="87">
        <v>25</v>
      </c>
      <c r="C10" s="78" t="s">
        <v>25</v>
      </c>
      <c r="D10" s="78" t="s">
        <v>138</v>
      </c>
      <c r="E10" s="82">
        <v>0</v>
      </c>
      <c r="F10" s="82">
        <v>0</v>
      </c>
      <c r="G10" s="82">
        <f>F10</f>
        <v>0</v>
      </c>
      <c r="H10" s="114">
        <v>0</v>
      </c>
      <c r="I10" s="82">
        <v>0</v>
      </c>
      <c r="J10" s="82">
        <v>0</v>
      </c>
      <c r="K10" s="82">
        <v>0</v>
      </c>
      <c r="L10" s="82">
        <v>0</v>
      </c>
      <c r="M10" s="82">
        <v>0</v>
      </c>
      <c r="N10" s="82">
        <v>0</v>
      </c>
      <c r="O10" s="82">
        <v>0</v>
      </c>
      <c r="P10" s="82">
        <v>0</v>
      </c>
    </row>
    <row r="11" spans="1:16" x14ac:dyDescent="0.25">
      <c r="A11" s="19" t="s">
        <v>116</v>
      </c>
      <c r="B11" s="88">
        <v>25</v>
      </c>
      <c r="C11" s="76" t="s">
        <v>25</v>
      </c>
      <c r="D11" s="76" t="s">
        <v>138</v>
      </c>
      <c r="E11" s="83">
        <v>1569.3</v>
      </c>
      <c r="F11" s="83">
        <v>1569.3</v>
      </c>
      <c r="G11" s="83">
        <f t="shared" ref="G11:G21" si="0">F11</f>
        <v>1569.3</v>
      </c>
      <c r="H11" s="115">
        <f>43.94+3.92</f>
        <v>47.86</v>
      </c>
      <c r="I11" s="83">
        <v>125.54</v>
      </c>
      <c r="J11" s="83">
        <v>14</v>
      </c>
      <c r="K11" s="83">
        <f>50.82+202.4</f>
        <v>253.22</v>
      </c>
      <c r="L11" s="83">
        <v>1142.68</v>
      </c>
      <c r="M11" s="83">
        <v>171.4</v>
      </c>
      <c r="N11" s="83">
        <v>50</v>
      </c>
      <c r="O11" s="83">
        <v>36.67</v>
      </c>
      <c r="P11" s="83">
        <v>1312.19</v>
      </c>
    </row>
    <row r="12" spans="1:16" x14ac:dyDescent="0.25">
      <c r="A12" s="19" t="s">
        <v>29</v>
      </c>
      <c r="B12" s="88">
        <v>25</v>
      </c>
      <c r="C12" s="76" t="s">
        <v>25</v>
      </c>
      <c r="D12" s="76" t="s">
        <v>138</v>
      </c>
      <c r="E12" s="83">
        <v>3085.11</v>
      </c>
      <c r="F12" s="83">
        <v>3085.11</v>
      </c>
      <c r="G12" s="83">
        <f t="shared" si="0"/>
        <v>3085.11</v>
      </c>
      <c r="H12" s="115">
        <f>86.38+7.71</f>
        <v>94.089999999999989</v>
      </c>
      <c r="I12" s="83">
        <v>246.81</v>
      </c>
      <c r="J12" s="83">
        <v>14</v>
      </c>
      <c r="K12" s="83">
        <f>115.5+460</f>
        <v>575.5</v>
      </c>
      <c r="L12" s="83">
        <v>2628.71</v>
      </c>
      <c r="M12" s="83">
        <v>325.31</v>
      </c>
      <c r="N12" s="83">
        <v>50</v>
      </c>
      <c r="O12" s="83">
        <v>60.07</v>
      </c>
      <c r="P12" s="83">
        <v>2508.7800000000002</v>
      </c>
    </row>
    <row r="13" spans="1:16" x14ac:dyDescent="0.25">
      <c r="A13" s="19" t="s">
        <v>30</v>
      </c>
      <c r="B13" s="88">
        <v>25</v>
      </c>
      <c r="C13" s="76" t="s">
        <v>25</v>
      </c>
      <c r="D13" s="76" t="s">
        <v>138</v>
      </c>
      <c r="E13" s="83">
        <v>3085.11</v>
      </c>
      <c r="F13" s="83">
        <v>3085.11</v>
      </c>
      <c r="G13" s="83">
        <f t="shared" si="0"/>
        <v>3085.11</v>
      </c>
      <c r="H13" s="115">
        <f>86.38+7.71</f>
        <v>94.089999999999989</v>
      </c>
      <c r="I13" s="83">
        <v>246.81</v>
      </c>
      <c r="J13" s="83">
        <v>14</v>
      </c>
      <c r="K13" s="83">
        <f>115.5+460</f>
        <v>575.5</v>
      </c>
      <c r="L13" s="83">
        <v>2628.71</v>
      </c>
      <c r="M13" s="83">
        <v>325.31</v>
      </c>
      <c r="N13" s="83">
        <v>50</v>
      </c>
      <c r="O13" s="83">
        <v>60.07</v>
      </c>
      <c r="P13" s="83">
        <v>2473.7800000000002</v>
      </c>
    </row>
    <row r="14" spans="1:16" x14ac:dyDescent="0.25">
      <c r="A14" s="19" t="s">
        <v>31</v>
      </c>
      <c r="B14" s="88">
        <v>25</v>
      </c>
      <c r="C14" s="76" t="s">
        <v>25</v>
      </c>
      <c r="D14" s="76" t="s">
        <v>138</v>
      </c>
      <c r="E14" s="83">
        <v>0</v>
      </c>
      <c r="F14" s="83">
        <v>0</v>
      </c>
      <c r="G14" s="83">
        <f t="shared" si="0"/>
        <v>0</v>
      </c>
      <c r="H14" s="115">
        <v>0</v>
      </c>
      <c r="I14" s="83">
        <v>0</v>
      </c>
      <c r="J14" s="83">
        <v>0</v>
      </c>
      <c r="K14" s="83">
        <v>0</v>
      </c>
      <c r="L14" s="83">
        <v>0</v>
      </c>
      <c r="M14" s="83">
        <v>0</v>
      </c>
      <c r="N14" s="83">
        <v>0</v>
      </c>
      <c r="O14" s="83">
        <v>0</v>
      </c>
      <c r="P14" s="83">
        <v>0</v>
      </c>
    </row>
    <row r="15" spans="1:16" x14ac:dyDescent="0.25">
      <c r="A15" s="19" t="s">
        <v>32</v>
      </c>
      <c r="B15" s="88">
        <v>25</v>
      </c>
      <c r="C15" s="76" t="s">
        <v>25</v>
      </c>
      <c r="D15" s="76" t="s">
        <v>138</v>
      </c>
      <c r="E15" s="83">
        <v>0</v>
      </c>
      <c r="F15" s="83">
        <v>0</v>
      </c>
      <c r="G15" s="83">
        <f t="shared" si="0"/>
        <v>0</v>
      </c>
      <c r="H15" s="115">
        <v>0</v>
      </c>
      <c r="I15" s="83">
        <v>0</v>
      </c>
      <c r="J15" s="83">
        <v>0</v>
      </c>
      <c r="K15" s="83">
        <v>0</v>
      </c>
      <c r="L15" s="83">
        <v>0</v>
      </c>
      <c r="M15" s="83">
        <v>0</v>
      </c>
      <c r="N15" s="83">
        <v>0</v>
      </c>
      <c r="O15" s="83">
        <v>0</v>
      </c>
      <c r="P15" s="83">
        <v>0</v>
      </c>
    </row>
    <row r="16" spans="1:16" x14ac:dyDescent="0.25">
      <c r="A16" s="19" t="s">
        <v>33</v>
      </c>
      <c r="B16" s="88">
        <v>25</v>
      </c>
      <c r="C16" s="76" t="s">
        <v>25</v>
      </c>
      <c r="D16" s="76" t="s">
        <v>138</v>
      </c>
      <c r="E16" s="83">
        <v>0</v>
      </c>
      <c r="F16" s="83">
        <v>0</v>
      </c>
      <c r="G16" s="83">
        <f t="shared" si="0"/>
        <v>0</v>
      </c>
      <c r="H16" s="115">
        <v>0</v>
      </c>
      <c r="I16" s="83">
        <v>0</v>
      </c>
      <c r="J16" s="83">
        <v>0</v>
      </c>
      <c r="K16" s="83">
        <v>0</v>
      </c>
      <c r="L16" s="83">
        <v>0</v>
      </c>
      <c r="M16" s="83">
        <v>0</v>
      </c>
      <c r="N16" s="83">
        <v>0</v>
      </c>
      <c r="O16" s="83">
        <v>0</v>
      </c>
      <c r="P16" s="83">
        <v>0</v>
      </c>
    </row>
    <row r="17" spans="1:17" x14ac:dyDescent="0.25">
      <c r="A17" s="19" t="s">
        <v>34</v>
      </c>
      <c r="B17" s="88">
        <v>25</v>
      </c>
      <c r="C17" s="76" t="s">
        <v>25</v>
      </c>
      <c r="D17" s="76" t="s">
        <v>138</v>
      </c>
      <c r="E17" s="83">
        <v>0</v>
      </c>
      <c r="F17" s="83">
        <v>0</v>
      </c>
      <c r="G17" s="83">
        <f t="shared" si="0"/>
        <v>0</v>
      </c>
      <c r="H17" s="115">
        <v>0</v>
      </c>
      <c r="I17" s="83">
        <v>0</v>
      </c>
      <c r="J17" s="83">
        <v>0</v>
      </c>
      <c r="K17" s="83">
        <v>0</v>
      </c>
      <c r="L17" s="83">
        <v>0</v>
      </c>
      <c r="M17" s="83">
        <v>0</v>
      </c>
      <c r="N17" s="83">
        <v>0</v>
      </c>
      <c r="O17" s="83">
        <v>0</v>
      </c>
      <c r="P17" s="83">
        <v>0</v>
      </c>
    </row>
    <row r="18" spans="1:17" x14ac:dyDescent="0.25">
      <c r="A18" s="19" t="s">
        <v>35</v>
      </c>
      <c r="B18" s="88">
        <v>25</v>
      </c>
      <c r="C18" s="76" t="s">
        <v>25</v>
      </c>
      <c r="D18" s="76" t="s">
        <v>138</v>
      </c>
      <c r="E18" s="83">
        <v>0</v>
      </c>
      <c r="F18" s="83">
        <v>0</v>
      </c>
      <c r="G18" s="83">
        <f t="shared" ref="G18:G21" si="1">F18</f>
        <v>0</v>
      </c>
      <c r="H18" s="115">
        <v>0</v>
      </c>
      <c r="I18" s="83">
        <v>0</v>
      </c>
      <c r="J18" s="83">
        <v>0</v>
      </c>
      <c r="K18" s="83">
        <v>0</v>
      </c>
      <c r="L18" s="83">
        <v>0</v>
      </c>
      <c r="M18" s="83">
        <v>0</v>
      </c>
      <c r="N18" s="83">
        <v>0</v>
      </c>
      <c r="O18" s="83">
        <v>0</v>
      </c>
      <c r="P18" s="83">
        <v>0</v>
      </c>
      <c r="Q18" s="20"/>
    </row>
    <row r="19" spans="1:17" x14ac:dyDescent="0.25">
      <c r="A19" s="19" t="s">
        <v>36</v>
      </c>
      <c r="B19" s="88">
        <v>25</v>
      </c>
      <c r="C19" s="76" t="s">
        <v>25</v>
      </c>
      <c r="D19" s="76" t="s">
        <v>138</v>
      </c>
      <c r="E19" s="83">
        <v>0</v>
      </c>
      <c r="F19" s="83">
        <v>0</v>
      </c>
      <c r="G19" s="83">
        <f t="shared" si="1"/>
        <v>0</v>
      </c>
      <c r="H19" s="115">
        <v>0</v>
      </c>
      <c r="I19" s="83">
        <v>0</v>
      </c>
      <c r="J19" s="83">
        <v>0</v>
      </c>
      <c r="K19" s="83">
        <v>0</v>
      </c>
      <c r="L19" s="83">
        <v>0</v>
      </c>
      <c r="M19" s="83">
        <v>0</v>
      </c>
      <c r="N19" s="83">
        <v>0</v>
      </c>
      <c r="O19" s="83">
        <v>0</v>
      </c>
      <c r="P19" s="83">
        <v>0</v>
      </c>
      <c r="Q19" s="20"/>
    </row>
    <row r="20" spans="1:17" x14ac:dyDescent="0.25">
      <c r="A20" s="19" t="s">
        <v>37</v>
      </c>
      <c r="B20" s="88">
        <v>25</v>
      </c>
      <c r="C20" s="76" t="s">
        <v>25</v>
      </c>
      <c r="D20" s="76" t="s">
        <v>138</v>
      </c>
      <c r="E20" s="83">
        <v>0</v>
      </c>
      <c r="F20" s="83">
        <v>0</v>
      </c>
      <c r="G20" s="83">
        <f t="shared" si="1"/>
        <v>0</v>
      </c>
      <c r="H20" s="115">
        <v>0</v>
      </c>
      <c r="I20" s="83">
        <v>0</v>
      </c>
      <c r="J20" s="83">
        <v>0</v>
      </c>
      <c r="K20" s="83">
        <v>0</v>
      </c>
      <c r="L20" s="83">
        <v>0</v>
      </c>
      <c r="M20" s="83">
        <v>0</v>
      </c>
      <c r="N20" s="83">
        <v>0</v>
      </c>
      <c r="O20" s="83">
        <v>0</v>
      </c>
      <c r="P20" s="83">
        <v>0</v>
      </c>
    </row>
    <row r="21" spans="1:17" ht="15.75" thickBot="1" x14ac:dyDescent="0.3">
      <c r="A21" s="19" t="s">
        <v>38</v>
      </c>
      <c r="B21" s="88">
        <v>25</v>
      </c>
      <c r="C21" s="76" t="s">
        <v>25</v>
      </c>
      <c r="D21" s="76" t="s">
        <v>138</v>
      </c>
      <c r="E21" s="83">
        <v>0</v>
      </c>
      <c r="F21" s="83">
        <v>0</v>
      </c>
      <c r="G21" s="83">
        <f t="shared" si="1"/>
        <v>0</v>
      </c>
      <c r="H21" s="115">
        <v>0</v>
      </c>
      <c r="I21" s="83">
        <v>0</v>
      </c>
      <c r="J21" s="83">
        <v>0</v>
      </c>
      <c r="K21" s="83">
        <v>0</v>
      </c>
      <c r="L21" s="83">
        <v>0</v>
      </c>
      <c r="M21" s="83">
        <v>0</v>
      </c>
      <c r="N21" s="83">
        <v>0</v>
      </c>
      <c r="O21" s="83">
        <v>0</v>
      </c>
      <c r="P21" s="83">
        <v>0</v>
      </c>
    </row>
    <row r="22" spans="1:17" ht="15.75" thickBot="1" x14ac:dyDescent="0.3">
      <c r="A22" s="12"/>
      <c r="B22" s="13"/>
      <c r="C22" s="13"/>
      <c r="D22" s="13"/>
      <c r="E22" s="84">
        <f t="shared" ref="E22:P22" si="2">SUM(E10:E21)</f>
        <v>7739.52</v>
      </c>
      <c r="F22" s="84">
        <f t="shared" si="2"/>
        <v>7739.52</v>
      </c>
      <c r="G22" s="84">
        <f t="shared" si="2"/>
        <v>7739.52</v>
      </c>
      <c r="H22" s="84">
        <f t="shared" si="2"/>
        <v>236.03999999999996</v>
      </c>
      <c r="I22" s="84">
        <f t="shared" si="2"/>
        <v>619.16000000000008</v>
      </c>
      <c r="J22" s="84">
        <f t="shared" si="2"/>
        <v>42</v>
      </c>
      <c r="K22" s="84">
        <f t="shared" si="2"/>
        <v>1404.22</v>
      </c>
      <c r="L22" s="84">
        <f t="shared" si="2"/>
        <v>6400.1</v>
      </c>
      <c r="M22" s="84">
        <f t="shared" si="2"/>
        <v>822.02</v>
      </c>
      <c r="N22" s="84">
        <f t="shared" si="2"/>
        <v>150</v>
      </c>
      <c r="O22" s="84">
        <f t="shared" si="2"/>
        <v>156.81</v>
      </c>
      <c r="P22" s="85">
        <f t="shared" si="2"/>
        <v>6294.75</v>
      </c>
    </row>
    <row r="23" spans="1:17" x14ac:dyDescent="0.25">
      <c r="N23" s="20"/>
    </row>
    <row r="24" spans="1:17" x14ac:dyDescent="0.25">
      <c r="N24" s="20"/>
    </row>
    <row r="25" spans="1:17" x14ac:dyDescent="0.25">
      <c r="A25" s="154" t="s">
        <v>16</v>
      </c>
      <c r="B25" s="154" t="s">
        <v>17</v>
      </c>
      <c r="C25" s="154" t="s">
        <v>18</v>
      </c>
      <c r="D25" s="154" t="s">
        <v>19</v>
      </c>
      <c r="E25" s="154" t="s">
        <v>20</v>
      </c>
      <c r="F25" s="154" t="s">
        <v>21</v>
      </c>
      <c r="G25" s="154" t="s">
        <v>7</v>
      </c>
      <c r="H25" s="155" t="s">
        <v>22</v>
      </c>
      <c r="I25" s="156"/>
      <c r="J25" s="156"/>
      <c r="K25" s="157"/>
    </row>
    <row r="26" spans="1:17" x14ac:dyDescent="0.25">
      <c r="A26" s="154"/>
      <c r="B26" s="154"/>
      <c r="C26" s="154"/>
      <c r="D26" s="154"/>
      <c r="E26" s="154"/>
      <c r="F26" s="154"/>
      <c r="G26" s="154"/>
      <c r="H26" s="177" t="s">
        <v>9</v>
      </c>
      <c r="I26" s="178"/>
      <c r="J26" s="11" t="s">
        <v>23</v>
      </c>
      <c r="K26" s="103" t="s">
        <v>24</v>
      </c>
    </row>
    <row r="27" spans="1:17" x14ac:dyDescent="0.25">
      <c r="A27" s="1" t="s">
        <v>69</v>
      </c>
      <c r="B27" s="81" t="s">
        <v>87</v>
      </c>
      <c r="C27" s="79"/>
      <c r="D27" s="80"/>
      <c r="E27" s="80"/>
      <c r="F27" s="80"/>
      <c r="G27" s="78"/>
      <c r="H27" s="149">
        <f t="shared" ref="H27:H38" si="3">M10</f>
        <v>0</v>
      </c>
      <c r="I27" s="150"/>
      <c r="J27" s="102">
        <f t="shared" ref="J27:J38" si="4">N10</f>
        <v>0</v>
      </c>
      <c r="K27" s="83">
        <f t="shared" ref="K27:K38" si="5">P10</f>
        <v>0</v>
      </c>
    </row>
    <row r="28" spans="1:17" x14ac:dyDescent="0.25">
      <c r="A28" s="2" t="s">
        <v>70</v>
      </c>
      <c r="B28" s="81">
        <v>88</v>
      </c>
      <c r="C28" s="77"/>
      <c r="D28" s="81"/>
      <c r="E28" s="81"/>
      <c r="F28" s="81"/>
      <c r="G28" s="76"/>
      <c r="H28" s="149">
        <f t="shared" si="3"/>
        <v>171.4</v>
      </c>
      <c r="I28" s="150"/>
      <c r="J28" s="102">
        <f t="shared" si="4"/>
        <v>50</v>
      </c>
      <c r="K28" s="83">
        <f t="shared" si="5"/>
        <v>1312.19</v>
      </c>
    </row>
    <row r="29" spans="1:17" x14ac:dyDescent="0.25">
      <c r="A29" s="2" t="s">
        <v>71</v>
      </c>
      <c r="B29" s="81">
        <v>173</v>
      </c>
      <c r="C29" s="77"/>
      <c r="D29" s="81"/>
      <c r="E29" s="81"/>
      <c r="F29" s="81"/>
      <c r="G29" s="76"/>
      <c r="H29" s="149">
        <f t="shared" si="3"/>
        <v>325.31</v>
      </c>
      <c r="I29" s="150"/>
      <c r="J29" s="102">
        <f t="shared" si="4"/>
        <v>50</v>
      </c>
      <c r="K29" s="83">
        <f t="shared" si="5"/>
        <v>2508.7800000000002</v>
      </c>
    </row>
    <row r="30" spans="1:17" x14ac:dyDescent="0.25">
      <c r="A30" s="2" t="s">
        <v>72</v>
      </c>
      <c r="B30" s="81">
        <v>173</v>
      </c>
      <c r="C30" s="77"/>
      <c r="D30" s="81">
        <v>43.34</v>
      </c>
      <c r="E30" s="81">
        <v>8</v>
      </c>
      <c r="F30" s="81"/>
      <c r="G30" s="76"/>
      <c r="H30" s="149">
        <f t="shared" si="3"/>
        <v>325.31</v>
      </c>
      <c r="I30" s="150"/>
      <c r="J30" s="102">
        <f t="shared" si="4"/>
        <v>50</v>
      </c>
      <c r="K30" s="83">
        <f t="shared" si="5"/>
        <v>2473.7800000000002</v>
      </c>
    </row>
    <row r="31" spans="1:17" x14ac:dyDescent="0.25">
      <c r="A31" s="2" t="s">
        <v>71</v>
      </c>
      <c r="B31" s="81" t="s">
        <v>87</v>
      </c>
      <c r="C31" s="77"/>
      <c r="D31" s="81"/>
      <c r="E31" s="81"/>
      <c r="F31" s="81"/>
      <c r="G31" s="76"/>
      <c r="H31" s="149">
        <f t="shared" si="3"/>
        <v>0</v>
      </c>
      <c r="I31" s="150"/>
      <c r="J31" s="102">
        <f t="shared" si="4"/>
        <v>0</v>
      </c>
      <c r="K31" s="83">
        <f t="shared" si="5"/>
        <v>0</v>
      </c>
    </row>
    <row r="32" spans="1:17" x14ac:dyDescent="0.25">
      <c r="A32" s="6" t="s">
        <v>69</v>
      </c>
      <c r="B32" s="81" t="s">
        <v>87</v>
      </c>
      <c r="C32" s="77"/>
      <c r="D32" s="81"/>
      <c r="E32" s="81"/>
      <c r="F32" s="81"/>
      <c r="G32" s="76"/>
      <c r="H32" s="149">
        <f t="shared" si="3"/>
        <v>0</v>
      </c>
      <c r="I32" s="150"/>
      <c r="J32" s="102">
        <f t="shared" si="4"/>
        <v>0</v>
      </c>
      <c r="K32" s="83">
        <f t="shared" si="5"/>
        <v>0</v>
      </c>
    </row>
    <row r="33" spans="1:11" x14ac:dyDescent="0.25">
      <c r="A33" s="6" t="s">
        <v>69</v>
      </c>
      <c r="B33" s="81" t="s">
        <v>87</v>
      </c>
      <c r="C33" s="77"/>
      <c r="D33" s="81"/>
      <c r="E33" s="81"/>
      <c r="F33" s="81"/>
      <c r="G33" s="76"/>
      <c r="H33" s="149">
        <f t="shared" si="3"/>
        <v>0</v>
      </c>
      <c r="I33" s="150"/>
      <c r="J33" s="102">
        <f t="shared" si="4"/>
        <v>0</v>
      </c>
      <c r="K33" s="83">
        <f t="shared" si="5"/>
        <v>0</v>
      </c>
    </row>
    <row r="34" spans="1:11" x14ac:dyDescent="0.25">
      <c r="A34" s="6" t="s">
        <v>72</v>
      </c>
      <c r="B34" s="81" t="s">
        <v>87</v>
      </c>
      <c r="C34" s="77"/>
      <c r="D34" s="81"/>
      <c r="E34" s="81"/>
      <c r="F34" s="81"/>
      <c r="G34" s="76"/>
      <c r="H34" s="149">
        <f t="shared" si="3"/>
        <v>0</v>
      </c>
      <c r="I34" s="150"/>
      <c r="J34" s="102">
        <f t="shared" si="4"/>
        <v>0</v>
      </c>
      <c r="K34" s="83">
        <f t="shared" si="5"/>
        <v>0</v>
      </c>
    </row>
    <row r="35" spans="1:11" x14ac:dyDescent="0.25">
      <c r="A35" s="6" t="s">
        <v>73</v>
      </c>
      <c r="B35" s="81" t="s">
        <v>87</v>
      </c>
      <c r="C35" s="77"/>
      <c r="D35" s="81"/>
      <c r="E35" s="81"/>
      <c r="F35" s="81"/>
      <c r="G35" s="76"/>
      <c r="H35" s="149">
        <f t="shared" si="3"/>
        <v>0</v>
      </c>
      <c r="I35" s="150"/>
      <c r="J35" s="102">
        <f t="shared" si="4"/>
        <v>0</v>
      </c>
      <c r="K35" s="83">
        <f t="shared" si="5"/>
        <v>0</v>
      </c>
    </row>
    <row r="36" spans="1:11" x14ac:dyDescent="0.25">
      <c r="A36" s="6" t="s">
        <v>74</v>
      </c>
      <c r="B36" s="81" t="s">
        <v>87</v>
      </c>
      <c r="C36" s="77"/>
      <c r="D36" s="81"/>
      <c r="E36" s="81"/>
      <c r="F36" s="81"/>
      <c r="G36" s="76"/>
      <c r="H36" s="149">
        <f t="shared" si="3"/>
        <v>0</v>
      </c>
      <c r="I36" s="150"/>
      <c r="J36" s="102">
        <f t="shared" si="4"/>
        <v>0</v>
      </c>
      <c r="K36" s="83">
        <f t="shared" si="5"/>
        <v>0</v>
      </c>
    </row>
    <row r="37" spans="1:11" x14ac:dyDescent="0.25">
      <c r="A37" s="6" t="s">
        <v>75</v>
      </c>
      <c r="B37" s="81" t="s">
        <v>87</v>
      </c>
      <c r="C37" s="77"/>
      <c r="D37" s="81"/>
      <c r="E37" s="81"/>
      <c r="F37" s="81"/>
      <c r="G37" s="76"/>
      <c r="H37" s="149">
        <f t="shared" si="3"/>
        <v>0</v>
      </c>
      <c r="I37" s="150"/>
      <c r="J37" s="102">
        <f t="shared" si="4"/>
        <v>0</v>
      </c>
      <c r="K37" s="83">
        <f t="shared" si="5"/>
        <v>0</v>
      </c>
    </row>
    <row r="38" spans="1:11" ht="15.75" thickBot="1" x14ac:dyDescent="0.3">
      <c r="A38" s="6" t="s">
        <v>76</v>
      </c>
      <c r="B38" s="81" t="s">
        <v>87</v>
      </c>
      <c r="C38" s="77"/>
      <c r="D38" s="81"/>
      <c r="E38" s="81"/>
      <c r="F38" s="81"/>
      <c r="G38" s="76"/>
      <c r="H38" s="149">
        <f t="shared" si="3"/>
        <v>0</v>
      </c>
      <c r="I38" s="150"/>
      <c r="J38" s="102">
        <f t="shared" si="4"/>
        <v>0</v>
      </c>
      <c r="K38" s="83">
        <f t="shared" si="5"/>
        <v>0</v>
      </c>
    </row>
    <row r="39" spans="1:11" ht="15.75" thickBot="1" x14ac:dyDescent="0.3">
      <c r="A39" s="72"/>
      <c r="B39" s="86">
        <f>SUM(B27:B38)</f>
        <v>434</v>
      </c>
      <c r="C39" s="86">
        <f t="shared" ref="C39:H39" si="6">SUM(C27:C38)</f>
        <v>0</v>
      </c>
      <c r="D39" s="86">
        <f t="shared" si="6"/>
        <v>43.34</v>
      </c>
      <c r="E39" s="86">
        <f t="shared" si="6"/>
        <v>8</v>
      </c>
      <c r="F39" s="86">
        <f t="shared" si="6"/>
        <v>0</v>
      </c>
      <c r="G39" s="86">
        <f t="shared" si="6"/>
        <v>0</v>
      </c>
      <c r="H39" s="151">
        <f t="shared" si="6"/>
        <v>822.02</v>
      </c>
      <c r="I39" s="152"/>
      <c r="J39" s="84">
        <f>SUM(J27:J38)</f>
        <v>150</v>
      </c>
      <c r="K39" s="85">
        <f>SUM(K27:K38)</f>
        <v>6294.75</v>
      </c>
    </row>
  </sheetData>
  <mergeCells count="40">
    <mergeCell ref="A5:D5"/>
    <mergeCell ref="E5:F5"/>
    <mergeCell ref="G5:H5"/>
    <mergeCell ref="J5:K5"/>
    <mergeCell ref="L5:N5"/>
    <mergeCell ref="B2:B3"/>
    <mergeCell ref="D2:D3"/>
    <mergeCell ref="F2:I3"/>
    <mergeCell ref="L2:N3"/>
    <mergeCell ref="A4:D4"/>
    <mergeCell ref="A6:D6"/>
    <mergeCell ref="E6:F6"/>
    <mergeCell ref="G6:H6"/>
    <mergeCell ref="L6:N6"/>
    <mergeCell ref="A7:D7"/>
    <mergeCell ref="E7:F7"/>
    <mergeCell ref="G7:H7"/>
    <mergeCell ref="L7:N7"/>
    <mergeCell ref="H29:I29"/>
    <mergeCell ref="A25:A26"/>
    <mergeCell ref="B25:B26"/>
    <mergeCell ref="C25:C26"/>
    <mergeCell ref="D25:D26"/>
    <mergeCell ref="E25:E26"/>
    <mergeCell ref="F25:F26"/>
    <mergeCell ref="G25:G26"/>
    <mergeCell ref="H25:K25"/>
    <mergeCell ref="H26:I26"/>
    <mergeCell ref="H27:I27"/>
    <mergeCell ref="H28:I28"/>
    <mergeCell ref="H36:I36"/>
    <mergeCell ref="H37:I37"/>
    <mergeCell ref="H38:I38"/>
    <mergeCell ref="H39:I39"/>
    <mergeCell ref="H30:I30"/>
    <mergeCell ref="H31:I31"/>
    <mergeCell ref="H32:I32"/>
    <mergeCell ref="H33:I33"/>
    <mergeCell ref="H34:I34"/>
    <mergeCell ref="H35:I35"/>
  </mergeCell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F1E407-E336-4834-AA34-C61FDAE0BFFB}">
  <sheetPr>
    <tabColor rgb="FFFF0000"/>
  </sheetPr>
  <dimension ref="A2:Q39"/>
  <sheetViews>
    <sheetView workbookViewId="0">
      <selection activeCell="N37" sqref="N37"/>
    </sheetView>
  </sheetViews>
  <sheetFormatPr defaultColWidth="11.42578125" defaultRowHeight="15" x14ac:dyDescent="0.25"/>
  <cols>
    <col min="1" max="1" width="11.140625" customWidth="1"/>
    <col min="2" max="2" width="12" customWidth="1"/>
    <col min="3" max="16" width="15.140625" customWidth="1"/>
  </cols>
  <sheetData>
    <row r="2" spans="1:16" x14ac:dyDescent="0.25">
      <c r="A2" s="3"/>
      <c r="B2" s="169" t="s">
        <v>0</v>
      </c>
      <c r="C2" s="14"/>
      <c r="D2" s="147">
        <v>2024</v>
      </c>
      <c r="E2" s="14"/>
      <c r="F2" s="169" t="s">
        <v>15</v>
      </c>
      <c r="G2" s="169"/>
      <c r="H2" s="169"/>
      <c r="I2" s="169"/>
      <c r="J2" s="14"/>
      <c r="K2" s="14"/>
      <c r="L2" s="147" t="s">
        <v>143</v>
      </c>
      <c r="M2" s="147"/>
      <c r="N2" s="147"/>
      <c r="O2" s="14"/>
      <c r="P2" s="15"/>
    </row>
    <row r="3" spans="1:16" x14ac:dyDescent="0.25">
      <c r="A3" s="8"/>
      <c r="B3" s="170"/>
      <c r="C3" s="16"/>
      <c r="D3" s="148"/>
      <c r="E3" s="16"/>
      <c r="F3" s="170"/>
      <c r="G3" s="170"/>
      <c r="H3" s="170"/>
      <c r="I3" s="170"/>
      <c r="J3" s="16"/>
      <c r="K3" s="16"/>
      <c r="L3" s="148"/>
      <c r="M3" s="148"/>
      <c r="N3" s="148"/>
      <c r="O3" s="16"/>
      <c r="P3" s="17"/>
    </row>
    <row r="4" spans="1:16" x14ac:dyDescent="0.25">
      <c r="A4" s="171" t="s">
        <v>58</v>
      </c>
      <c r="B4" s="172"/>
      <c r="C4" s="172"/>
      <c r="D4" s="173"/>
      <c r="E4" s="3"/>
      <c r="F4" s="4"/>
      <c r="G4" s="4"/>
      <c r="H4" s="4"/>
      <c r="I4" s="4"/>
      <c r="J4" s="4"/>
      <c r="K4" s="4"/>
      <c r="L4" s="4"/>
      <c r="M4" s="4"/>
      <c r="N4" s="4"/>
      <c r="O4" s="4"/>
      <c r="P4" s="5"/>
    </row>
    <row r="5" spans="1:16" x14ac:dyDescent="0.25">
      <c r="A5" s="174" t="s">
        <v>59</v>
      </c>
      <c r="B5" s="146"/>
      <c r="C5" s="146"/>
      <c r="D5" s="175"/>
      <c r="E5" s="162" t="s">
        <v>12</v>
      </c>
      <c r="F5" s="163"/>
      <c r="G5" s="153">
        <f>G6</f>
        <v>45383</v>
      </c>
      <c r="H5" s="153"/>
      <c r="J5" s="145" t="s">
        <v>144</v>
      </c>
      <c r="K5" s="145"/>
      <c r="L5" s="145" t="s">
        <v>139</v>
      </c>
      <c r="M5" s="145"/>
      <c r="N5" s="145"/>
      <c r="O5" t="s">
        <v>39</v>
      </c>
      <c r="P5" s="124" t="s">
        <v>142</v>
      </c>
    </row>
    <row r="6" spans="1:16" x14ac:dyDescent="0.25">
      <c r="A6" s="174" t="s">
        <v>60</v>
      </c>
      <c r="B6" s="146"/>
      <c r="C6" s="146"/>
      <c r="D6" s="175"/>
      <c r="E6" s="162" t="s">
        <v>13</v>
      </c>
      <c r="F6" s="163"/>
      <c r="G6" s="153">
        <v>45383</v>
      </c>
      <c r="H6" s="153"/>
      <c r="L6" s="146" t="s">
        <v>140</v>
      </c>
      <c r="M6" s="146"/>
      <c r="N6" s="146"/>
      <c r="P6" s="7"/>
    </row>
    <row r="7" spans="1:16" x14ac:dyDescent="0.25">
      <c r="A7" s="166" t="s">
        <v>83</v>
      </c>
      <c r="B7" s="167"/>
      <c r="C7" s="167"/>
      <c r="D7" s="168"/>
      <c r="E7" s="162" t="s">
        <v>14</v>
      </c>
      <c r="F7" s="163"/>
      <c r="G7" s="176">
        <v>45427</v>
      </c>
      <c r="H7" s="176"/>
      <c r="L7" s="146" t="s">
        <v>141</v>
      </c>
      <c r="M7" s="146"/>
      <c r="N7" s="146"/>
      <c r="P7" s="7"/>
    </row>
    <row r="8" spans="1:16" x14ac:dyDescent="0.25">
      <c r="A8" s="8"/>
      <c r="B8" s="9"/>
      <c r="C8" s="9"/>
      <c r="D8" s="10"/>
      <c r="E8" s="8"/>
      <c r="F8" s="9"/>
      <c r="G8" s="9"/>
      <c r="H8" s="9"/>
      <c r="I8" s="9"/>
      <c r="J8" s="9"/>
      <c r="K8" s="9"/>
      <c r="L8" s="9"/>
      <c r="M8" s="9"/>
      <c r="N8" s="9"/>
      <c r="O8" s="9"/>
      <c r="P8" s="10"/>
    </row>
    <row r="9" spans="1:16" x14ac:dyDescent="0.25">
      <c r="A9" s="11" t="s">
        <v>1</v>
      </c>
      <c r="B9" s="1" t="s">
        <v>3</v>
      </c>
      <c r="C9" s="122" t="s">
        <v>2</v>
      </c>
      <c r="D9" s="116" t="s">
        <v>26</v>
      </c>
      <c r="E9" s="116" t="s">
        <v>4</v>
      </c>
      <c r="F9" s="116" t="s">
        <v>5</v>
      </c>
      <c r="G9" s="122" t="s">
        <v>6</v>
      </c>
      <c r="H9" s="116" t="s">
        <v>7</v>
      </c>
      <c r="I9" s="116" t="s">
        <v>8</v>
      </c>
      <c r="J9" s="116" t="s">
        <v>114</v>
      </c>
      <c r="K9" s="116" t="s">
        <v>84</v>
      </c>
      <c r="L9" s="116" t="s">
        <v>9</v>
      </c>
      <c r="M9" s="116" t="s">
        <v>10</v>
      </c>
      <c r="N9" s="116" t="s">
        <v>78</v>
      </c>
      <c r="O9" s="116" t="s">
        <v>77</v>
      </c>
      <c r="P9" s="116" t="s">
        <v>11</v>
      </c>
    </row>
    <row r="10" spans="1:16" x14ac:dyDescent="0.25">
      <c r="A10" s="18" t="s">
        <v>27</v>
      </c>
      <c r="B10" s="87">
        <v>25</v>
      </c>
      <c r="C10" s="78" t="s">
        <v>25</v>
      </c>
      <c r="D10" s="78">
        <v>2</v>
      </c>
      <c r="E10" s="82">
        <v>0</v>
      </c>
      <c r="F10" s="82">
        <v>0</v>
      </c>
      <c r="G10" s="82">
        <f>F10</f>
        <v>0</v>
      </c>
      <c r="H10" s="114">
        <v>0</v>
      </c>
      <c r="I10" s="82">
        <v>0</v>
      </c>
      <c r="J10" s="82">
        <v>0</v>
      </c>
      <c r="K10" s="82">
        <v>0</v>
      </c>
      <c r="L10" s="82">
        <v>0</v>
      </c>
      <c r="M10" s="82">
        <v>0</v>
      </c>
      <c r="N10" s="82">
        <v>0</v>
      </c>
      <c r="O10" s="82">
        <v>0</v>
      </c>
      <c r="P10" s="82">
        <v>0</v>
      </c>
    </row>
    <row r="11" spans="1:16" x14ac:dyDescent="0.25">
      <c r="A11" s="19" t="s">
        <v>28</v>
      </c>
      <c r="B11" s="88">
        <v>25</v>
      </c>
      <c r="C11" s="76" t="s">
        <v>25</v>
      </c>
      <c r="D11" s="76">
        <v>2</v>
      </c>
      <c r="E11" s="83">
        <v>0</v>
      </c>
      <c r="F11" s="83">
        <v>0</v>
      </c>
      <c r="G11" s="83">
        <f t="shared" ref="G11:G21" si="0">F11</f>
        <v>0</v>
      </c>
      <c r="H11" s="115">
        <v>0</v>
      </c>
      <c r="I11" s="83">
        <v>0</v>
      </c>
      <c r="J11" s="83">
        <v>0</v>
      </c>
      <c r="K11" s="83">
        <v>0</v>
      </c>
      <c r="L11" s="83">
        <v>0</v>
      </c>
      <c r="M11" s="83">
        <v>0</v>
      </c>
      <c r="N11" s="83">
        <v>0</v>
      </c>
      <c r="O11" s="83">
        <v>0</v>
      </c>
      <c r="P11" s="83">
        <v>0</v>
      </c>
    </row>
    <row r="12" spans="1:16" x14ac:dyDescent="0.25">
      <c r="A12" s="19" t="s">
        <v>29</v>
      </c>
      <c r="B12" s="88">
        <v>25</v>
      </c>
      <c r="C12" s="76" t="s">
        <v>25</v>
      </c>
      <c r="D12" s="76">
        <v>2</v>
      </c>
      <c r="E12" s="83">
        <v>0</v>
      </c>
      <c r="F12" s="83">
        <v>0</v>
      </c>
      <c r="G12" s="83">
        <f t="shared" si="0"/>
        <v>0</v>
      </c>
      <c r="H12" s="115">
        <v>0</v>
      </c>
      <c r="I12" s="83">
        <v>0</v>
      </c>
      <c r="J12" s="83">
        <v>0</v>
      </c>
      <c r="K12" s="83">
        <v>0</v>
      </c>
      <c r="L12" s="83">
        <v>0</v>
      </c>
      <c r="M12" s="83">
        <v>0</v>
      </c>
      <c r="N12" s="83">
        <v>0</v>
      </c>
      <c r="O12" s="83">
        <v>0</v>
      </c>
      <c r="P12" s="83">
        <v>0</v>
      </c>
    </row>
    <row r="13" spans="1:16" x14ac:dyDescent="0.25">
      <c r="A13" s="19" t="s">
        <v>30</v>
      </c>
      <c r="B13" s="88">
        <v>25</v>
      </c>
      <c r="C13" s="76" t="s">
        <v>25</v>
      </c>
      <c r="D13" s="76">
        <v>2</v>
      </c>
      <c r="E13" s="83">
        <v>475.52</v>
      </c>
      <c r="F13" s="83">
        <v>451.74</v>
      </c>
      <c r="G13" s="83">
        <f t="shared" si="0"/>
        <v>451.74</v>
      </c>
      <c r="H13" s="115">
        <f>12.65+1.13</f>
        <v>13.780000000000001</v>
      </c>
      <c r="I13" s="83">
        <v>36.14</v>
      </c>
      <c r="J13" s="83">
        <v>25</v>
      </c>
      <c r="K13" s="83">
        <v>214.5</v>
      </c>
      <c r="L13" s="83">
        <v>187.33</v>
      </c>
      <c r="M13" s="83">
        <v>0</v>
      </c>
      <c r="N13" s="83">
        <v>35.840000000000003</v>
      </c>
      <c r="O13" s="83">
        <v>0</v>
      </c>
      <c r="P13" s="83">
        <v>454.34</v>
      </c>
    </row>
    <row r="14" spans="1:16" x14ac:dyDescent="0.25">
      <c r="A14" s="19" t="s">
        <v>31</v>
      </c>
      <c r="B14" s="88">
        <v>25</v>
      </c>
      <c r="C14" s="76" t="s">
        <v>25</v>
      </c>
      <c r="D14" s="76">
        <v>2</v>
      </c>
      <c r="E14" s="83">
        <v>0</v>
      </c>
      <c r="F14" s="83">
        <v>0</v>
      </c>
      <c r="G14" s="83">
        <f t="shared" si="0"/>
        <v>0</v>
      </c>
      <c r="H14" s="115">
        <v>0</v>
      </c>
      <c r="I14" s="83">
        <v>0</v>
      </c>
      <c r="J14" s="83">
        <v>0</v>
      </c>
      <c r="K14" s="83">
        <v>0</v>
      </c>
      <c r="L14" s="83">
        <v>0</v>
      </c>
      <c r="M14" s="83">
        <v>0</v>
      </c>
      <c r="N14" s="83">
        <v>0</v>
      </c>
      <c r="O14" s="83">
        <v>0</v>
      </c>
      <c r="P14" s="83">
        <v>0</v>
      </c>
    </row>
    <row r="15" spans="1:16" x14ac:dyDescent="0.25">
      <c r="A15" s="19" t="s">
        <v>32</v>
      </c>
      <c r="B15" s="88">
        <v>25</v>
      </c>
      <c r="C15" s="76" t="s">
        <v>25</v>
      </c>
      <c r="D15" s="76">
        <v>2</v>
      </c>
      <c r="E15" s="83">
        <v>0</v>
      </c>
      <c r="F15" s="83">
        <v>0</v>
      </c>
      <c r="G15" s="83">
        <f t="shared" si="0"/>
        <v>0</v>
      </c>
      <c r="H15" s="115">
        <v>0</v>
      </c>
      <c r="I15" s="83">
        <v>0</v>
      </c>
      <c r="J15" s="83">
        <v>0</v>
      </c>
      <c r="K15" s="83">
        <v>0</v>
      </c>
      <c r="L15" s="83">
        <v>0</v>
      </c>
      <c r="M15" s="83">
        <v>0</v>
      </c>
      <c r="N15" s="83">
        <v>0</v>
      </c>
      <c r="O15" s="83">
        <v>0</v>
      </c>
      <c r="P15" s="83">
        <v>0</v>
      </c>
    </row>
    <row r="16" spans="1:16" x14ac:dyDescent="0.25">
      <c r="A16" s="19" t="s">
        <v>33</v>
      </c>
      <c r="B16" s="88">
        <v>25</v>
      </c>
      <c r="C16" s="76" t="s">
        <v>25</v>
      </c>
      <c r="D16" s="76">
        <v>2</v>
      </c>
      <c r="E16" s="83">
        <v>0</v>
      </c>
      <c r="F16" s="83">
        <v>0</v>
      </c>
      <c r="G16" s="83">
        <f t="shared" si="0"/>
        <v>0</v>
      </c>
      <c r="H16" s="115">
        <v>0</v>
      </c>
      <c r="I16" s="83">
        <v>0</v>
      </c>
      <c r="J16" s="83">
        <v>0</v>
      </c>
      <c r="K16" s="83">
        <v>0</v>
      </c>
      <c r="L16" s="83">
        <v>0</v>
      </c>
      <c r="M16" s="83">
        <v>0</v>
      </c>
      <c r="N16" s="83">
        <v>0</v>
      </c>
      <c r="O16" s="83">
        <v>0</v>
      </c>
      <c r="P16" s="83">
        <v>0</v>
      </c>
    </row>
    <row r="17" spans="1:17" x14ac:dyDescent="0.25">
      <c r="A17" s="19" t="s">
        <v>34</v>
      </c>
      <c r="B17" s="88">
        <v>25</v>
      </c>
      <c r="C17" s="76" t="s">
        <v>25</v>
      </c>
      <c r="D17" s="76">
        <v>2</v>
      </c>
      <c r="E17" s="83">
        <v>0</v>
      </c>
      <c r="F17" s="83">
        <v>0</v>
      </c>
      <c r="G17" s="83">
        <f t="shared" si="0"/>
        <v>0</v>
      </c>
      <c r="H17" s="115">
        <v>0</v>
      </c>
      <c r="I17" s="83">
        <v>0</v>
      </c>
      <c r="J17" s="83">
        <v>0</v>
      </c>
      <c r="K17" s="83">
        <v>0</v>
      </c>
      <c r="L17" s="83">
        <v>0</v>
      </c>
      <c r="M17" s="83">
        <v>0</v>
      </c>
      <c r="N17" s="83">
        <v>0</v>
      </c>
      <c r="O17" s="83">
        <v>0</v>
      </c>
      <c r="P17" s="83">
        <v>0</v>
      </c>
    </row>
    <row r="18" spans="1:17" x14ac:dyDescent="0.25">
      <c r="A18" s="19" t="s">
        <v>35</v>
      </c>
      <c r="B18" s="88">
        <v>25</v>
      </c>
      <c r="C18" s="76" t="s">
        <v>25</v>
      </c>
      <c r="D18" s="76">
        <v>2</v>
      </c>
      <c r="E18" s="83">
        <v>0</v>
      </c>
      <c r="F18" s="83">
        <v>0</v>
      </c>
      <c r="G18" s="83">
        <f t="shared" ref="G18:G21" si="1">F18</f>
        <v>0</v>
      </c>
      <c r="H18" s="115">
        <v>0</v>
      </c>
      <c r="I18" s="83">
        <v>0</v>
      </c>
      <c r="J18" s="83">
        <v>0</v>
      </c>
      <c r="K18" s="83">
        <v>0</v>
      </c>
      <c r="L18" s="83">
        <v>0</v>
      </c>
      <c r="M18" s="83">
        <v>0</v>
      </c>
      <c r="N18" s="83">
        <v>0</v>
      </c>
      <c r="O18" s="83">
        <v>0</v>
      </c>
      <c r="P18" s="83">
        <v>0</v>
      </c>
      <c r="Q18" s="20"/>
    </row>
    <row r="19" spans="1:17" x14ac:dyDescent="0.25">
      <c r="A19" s="19" t="s">
        <v>36</v>
      </c>
      <c r="B19" s="88">
        <v>25</v>
      </c>
      <c r="C19" s="76" t="s">
        <v>25</v>
      </c>
      <c r="D19" s="76">
        <v>2</v>
      </c>
      <c r="E19" s="83">
        <v>0</v>
      </c>
      <c r="F19" s="83">
        <v>0</v>
      </c>
      <c r="G19" s="83">
        <f t="shared" si="1"/>
        <v>0</v>
      </c>
      <c r="H19" s="115">
        <v>0</v>
      </c>
      <c r="I19" s="83">
        <v>0</v>
      </c>
      <c r="J19" s="83">
        <v>0</v>
      </c>
      <c r="K19" s="83">
        <v>0</v>
      </c>
      <c r="L19" s="83">
        <v>0</v>
      </c>
      <c r="M19" s="83">
        <v>0</v>
      </c>
      <c r="N19" s="83">
        <v>0</v>
      </c>
      <c r="O19" s="83">
        <v>0</v>
      </c>
      <c r="P19" s="83">
        <v>0</v>
      </c>
      <c r="Q19" s="20"/>
    </row>
    <row r="20" spans="1:17" x14ac:dyDescent="0.25">
      <c r="A20" s="19" t="s">
        <v>37</v>
      </c>
      <c r="B20" s="88">
        <v>25</v>
      </c>
      <c r="C20" s="76" t="s">
        <v>25</v>
      </c>
      <c r="D20" s="76">
        <v>2</v>
      </c>
      <c r="E20" s="83">
        <v>0</v>
      </c>
      <c r="F20" s="83">
        <v>0</v>
      </c>
      <c r="G20" s="83">
        <f t="shared" si="1"/>
        <v>0</v>
      </c>
      <c r="H20" s="115">
        <v>0</v>
      </c>
      <c r="I20" s="83">
        <v>0</v>
      </c>
      <c r="J20" s="83">
        <v>0</v>
      </c>
      <c r="K20" s="83">
        <v>0</v>
      </c>
      <c r="L20" s="83">
        <v>0</v>
      </c>
      <c r="M20" s="83">
        <v>0</v>
      </c>
      <c r="N20" s="83">
        <v>0</v>
      </c>
      <c r="O20" s="83">
        <v>0</v>
      </c>
      <c r="P20" s="83">
        <v>0</v>
      </c>
    </row>
    <row r="21" spans="1:17" ht="15.75" thickBot="1" x14ac:dyDescent="0.3">
      <c r="A21" s="19" t="s">
        <v>38</v>
      </c>
      <c r="B21" s="88">
        <v>25</v>
      </c>
      <c r="C21" s="76" t="s">
        <v>25</v>
      </c>
      <c r="D21" s="76">
        <v>2</v>
      </c>
      <c r="E21" s="83">
        <v>0</v>
      </c>
      <c r="F21" s="83">
        <v>0</v>
      </c>
      <c r="G21" s="83">
        <f t="shared" si="1"/>
        <v>0</v>
      </c>
      <c r="H21" s="115">
        <v>0</v>
      </c>
      <c r="I21" s="83">
        <v>0</v>
      </c>
      <c r="J21" s="83">
        <v>0</v>
      </c>
      <c r="K21" s="83">
        <v>0</v>
      </c>
      <c r="L21" s="83">
        <v>0</v>
      </c>
      <c r="M21" s="83">
        <v>0</v>
      </c>
      <c r="N21" s="83">
        <v>0</v>
      </c>
      <c r="O21" s="83">
        <v>0</v>
      </c>
      <c r="P21" s="83">
        <v>0</v>
      </c>
    </row>
    <row r="22" spans="1:17" ht="15.75" thickBot="1" x14ac:dyDescent="0.3">
      <c r="A22" s="12"/>
      <c r="B22" s="13"/>
      <c r="C22" s="13"/>
      <c r="D22" s="13"/>
      <c r="E22" s="84">
        <f t="shared" ref="E22:P22" si="2">SUM(E10:E21)</f>
        <v>475.52</v>
      </c>
      <c r="F22" s="84">
        <f t="shared" si="2"/>
        <v>451.74</v>
      </c>
      <c r="G22" s="84">
        <f t="shared" si="2"/>
        <v>451.74</v>
      </c>
      <c r="H22" s="84">
        <f t="shared" si="2"/>
        <v>13.780000000000001</v>
      </c>
      <c r="I22" s="84">
        <f t="shared" si="2"/>
        <v>36.14</v>
      </c>
      <c r="J22" s="84">
        <f t="shared" si="2"/>
        <v>25</v>
      </c>
      <c r="K22" s="84">
        <f t="shared" si="2"/>
        <v>214.5</v>
      </c>
      <c r="L22" s="84">
        <f t="shared" si="2"/>
        <v>187.33</v>
      </c>
      <c r="M22" s="84">
        <f t="shared" si="2"/>
        <v>0</v>
      </c>
      <c r="N22" s="84">
        <f t="shared" si="2"/>
        <v>35.840000000000003</v>
      </c>
      <c r="O22" s="84">
        <f t="shared" si="2"/>
        <v>0</v>
      </c>
      <c r="P22" s="85">
        <f t="shared" si="2"/>
        <v>454.34</v>
      </c>
    </row>
    <row r="23" spans="1:17" x14ac:dyDescent="0.25">
      <c r="N23" s="20"/>
    </row>
    <row r="24" spans="1:17" x14ac:dyDescent="0.25">
      <c r="N24" s="20"/>
    </row>
    <row r="25" spans="1:17" ht="15" customHeight="1" x14ac:dyDescent="0.25">
      <c r="A25" s="154" t="s">
        <v>16</v>
      </c>
      <c r="B25" s="154" t="s">
        <v>17</v>
      </c>
      <c r="C25" s="154" t="s">
        <v>18</v>
      </c>
      <c r="D25" s="154" t="s">
        <v>19</v>
      </c>
      <c r="E25" s="154" t="s">
        <v>20</v>
      </c>
      <c r="F25" s="179" t="s">
        <v>130</v>
      </c>
      <c r="G25" s="154" t="s">
        <v>7</v>
      </c>
      <c r="H25" s="155" t="s">
        <v>22</v>
      </c>
      <c r="I25" s="156"/>
      <c r="J25" s="156"/>
      <c r="K25" s="157"/>
    </row>
    <row r="26" spans="1:17" x14ac:dyDescent="0.25">
      <c r="A26" s="154"/>
      <c r="B26" s="154"/>
      <c r="C26" s="154"/>
      <c r="D26" s="154"/>
      <c r="E26" s="154"/>
      <c r="F26" s="179"/>
      <c r="G26" s="154"/>
      <c r="H26" s="177" t="s">
        <v>9</v>
      </c>
      <c r="I26" s="178"/>
      <c r="J26" s="11" t="s">
        <v>23</v>
      </c>
      <c r="K26" s="103" t="s">
        <v>24</v>
      </c>
    </row>
    <row r="27" spans="1:17" x14ac:dyDescent="0.25">
      <c r="A27" s="1" t="s">
        <v>69</v>
      </c>
      <c r="B27" s="81" t="s">
        <v>87</v>
      </c>
      <c r="C27" s="79"/>
      <c r="D27" s="80"/>
      <c r="E27" s="80"/>
      <c r="F27" s="80"/>
      <c r="G27" s="78"/>
      <c r="H27" s="149">
        <f t="shared" ref="H27:H38" si="3">M10</f>
        <v>0</v>
      </c>
      <c r="I27" s="150"/>
      <c r="J27" s="102">
        <f t="shared" ref="J27:J38" si="4">N10</f>
        <v>0</v>
      </c>
      <c r="K27" s="83">
        <f t="shared" ref="K27:K38" si="5">P10</f>
        <v>0</v>
      </c>
    </row>
    <row r="28" spans="1:17" x14ac:dyDescent="0.25">
      <c r="A28" s="2" t="s">
        <v>70</v>
      </c>
      <c r="B28" s="81" t="s">
        <v>87</v>
      </c>
      <c r="C28" s="77"/>
      <c r="D28" s="81"/>
      <c r="E28" s="81"/>
      <c r="F28" s="81"/>
      <c r="G28" s="76"/>
      <c r="H28" s="149">
        <f t="shared" si="3"/>
        <v>0</v>
      </c>
      <c r="I28" s="150"/>
      <c r="J28" s="102">
        <f t="shared" si="4"/>
        <v>0</v>
      </c>
      <c r="K28" s="83">
        <f t="shared" si="5"/>
        <v>0</v>
      </c>
    </row>
    <row r="29" spans="1:17" x14ac:dyDescent="0.25">
      <c r="A29" s="2" t="s">
        <v>71</v>
      </c>
      <c r="B29" s="81" t="s">
        <v>87</v>
      </c>
      <c r="C29" s="77"/>
      <c r="D29" s="81"/>
      <c r="E29" s="81"/>
      <c r="F29" s="81"/>
      <c r="G29" s="76"/>
      <c r="H29" s="149">
        <f t="shared" si="3"/>
        <v>0</v>
      </c>
      <c r="I29" s="150"/>
      <c r="J29" s="102">
        <f t="shared" si="4"/>
        <v>0</v>
      </c>
      <c r="K29" s="83">
        <f t="shared" si="5"/>
        <v>0</v>
      </c>
    </row>
    <row r="30" spans="1:17" x14ac:dyDescent="0.25">
      <c r="A30" s="2" t="s">
        <v>72</v>
      </c>
      <c r="B30" s="81">
        <v>32</v>
      </c>
      <c r="C30" s="77"/>
      <c r="D30" s="81">
        <v>5</v>
      </c>
      <c r="E30" s="81">
        <v>1.6</v>
      </c>
      <c r="F30" s="81">
        <v>1.6</v>
      </c>
      <c r="G30" s="76"/>
      <c r="H30" s="149">
        <f t="shared" si="3"/>
        <v>0</v>
      </c>
      <c r="I30" s="150"/>
      <c r="J30" s="102">
        <f t="shared" si="4"/>
        <v>35.840000000000003</v>
      </c>
      <c r="K30" s="83">
        <f t="shared" si="5"/>
        <v>454.34</v>
      </c>
    </row>
    <row r="31" spans="1:17" x14ac:dyDescent="0.25">
      <c r="A31" s="2" t="s">
        <v>71</v>
      </c>
      <c r="B31" s="81">
        <v>16</v>
      </c>
      <c r="C31" s="77"/>
      <c r="D31" s="81"/>
      <c r="E31" s="81">
        <v>3.2</v>
      </c>
      <c r="F31" s="81">
        <v>16</v>
      </c>
      <c r="G31" s="76"/>
      <c r="H31" s="149">
        <f t="shared" si="3"/>
        <v>0</v>
      </c>
      <c r="I31" s="150"/>
      <c r="J31" s="102">
        <f t="shared" si="4"/>
        <v>0</v>
      </c>
      <c r="K31" s="83">
        <f t="shared" si="5"/>
        <v>0</v>
      </c>
    </row>
    <row r="32" spans="1:17" x14ac:dyDescent="0.25">
      <c r="A32" s="6" t="s">
        <v>69</v>
      </c>
      <c r="B32" s="81" t="s">
        <v>87</v>
      </c>
      <c r="C32" s="77"/>
      <c r="D32" s="81"/>
      <c r="E32" s="81"/>
      <c r="F32" s="81"/>
      <c r="G32" s="76"/>
      <c r="H32" s="149">
        <f t="shared" si="3"/>
        <v>0</v>
      </c>
      <c r="I32" s="150"/>
      <c r="J32" s="102">
        <f t="shared" si="4"/>
        <v>0</v>
      </c>
      <c r="K32" s="83">
        <f t="shared" si="5"/>
        <v>0</v>
      </c>
    </row>
    <row r="33" spans="1:11" x14ac:dyDescent="0.25">
      <c r="A33" s="6" t="s">
        <v>69</v>
      </c>
      <c r="B33" s="81" t="s">
        <v>87</v>
      </c>
      <c r="C33" s="77"/>
      <c r="D33" s="81"/>
      <c r="E33" s="81"/>
      <c r="F33" s="81"/>
      <c r="G33" s="76"/>
      <c r="H33" s="149">
        <f t="shared" si="3"/>
        <v>0</v>
      </c>
      <c r="I33" s="150"/>
      <c r="J33" s="102">
        <f t="shared" si="4"/>
        <v>0</v>
      </c>
      <c r="K33" s="83">
        <f t="shared" si="5"/>
        <v>0</v>
      </c>
    </row>
    <row r="34" spans="1:11" x14ac:dyDescent="0.25">
      <c r="A34" s="6" t="s">
        <v>72</v>
      </c>
      <c r="B34" s="81" t="s">
        <v>87</v>
      </c>
      <c r="C34" s="77"/>
      <c r="D34" s="81"/>
      <c r="E34" s="81"/>
      <c r="F34" s="81"/>
      <c r="G34" s="76"/>
      <c r="H34" s="149">
        <f t="shared" si="3"/>
        <v>0</v>
      </c>
      <c r="I34" s="150"/>
      <c r="J34" s="102">
        <f t="shared" si="4"/>
        <v>0</v>
      </c>
      <c r="K34" s="83">
        <f t="shared" si="5"/>
        <v>0</v>
      </c>
    </row>
    <row r="35" spans="1:11" x14ac:dyDescent="0.25">
      <c r="A35" s="6" t="s">
        <v>73</v>
      </c>
      <c r="B35" s="81" t="s">
        <v>87</v>
      </c>
      <c r="C35" s="77"/>
      <c r="D35" s="81"/>
      <c r="E35" s="81"/>
      <c r="F35" s="81"/>
      <c r="G35" s="76"/>
      <c r="H35" s="149">
        <f t="shared" si="3"/>
        <v>0</v>
      </c>
      <c r="I35" s="150"/>
      <c r="J35" s="102">
        <f t="shared" si="4"/>
        <v>0</v>
      </c>
      <c r="K35" s="83">
        <f t="shared" si="5"/>
        <v>0</v>
      </c>
    </row>
    <row r="36" spans="1:11" x14ac:dyDescent="0.25">
      <c r="A36" s="6" t="s">
        <v>74</v>
      </c>
      <c r="B36" s="81" t="s">
        <v>87</v>
      </c>
      <c r="C36" s="77"/>
      <c r="D36" s="81"/>
      <c r="E36" s="81"/>
      <c r="F36" s="81"/>
      <c r="G36" s="76"/>
      <c r="H36" s="149">
        <f t="shared" si="3"/>
        <v>0</v>
      </c>
      <c r="I36" s="150"/>
      <c r="J36" s="102">
        <f t="shared" si="4"/>
        <v>0</v>
      </c>
      <c r="K36" s="83">
        <f t="shared" si="5"/>
        <v>0</v>
      </c>
    </row>
    <row r="37" spans="1:11" x14ac:dyDescent="0.25">
      <c r="A37" s="6" t="s">
        <v>75</v>
      </c>
      <c r="B37" s="81" t="s">
        <v>87</v>
      </c>
      <c r="C37" s="77"/>
      <c r="D37" s="81"/>
      <c r="E37" s="81"/>
      <c r="F37" s="81"/>
      <c r="G37" s="76"/>
      <c r="H37" s="149">
        <f t="shared" si="3"/>
        <v>0</v>
      </c>
      <c r="I37" s="150"/>
      <c r="J37" s="102">
        <f t="shared" si="4"/>
        <v>0</v>
      </c>
      <c r="K37" s="83">
        <f t="shared" si="5"/>
        <v>0</v>
      </c>
    </row>
    <row r="38" spans="1:11" ht="15.75" thickBot="1" x14ac:dyDescent="0.3">
      <c r="A38" s="6" t="s">
        <v>76</v>
      </c>
      <c r="B38" s="81" t="s">
        <v>87</v>
      </c>
      <c r="C38" s="77"/>
      <c r="D38" s="81"/>
      <c r="E38" s="81"/>
      <c r="F38" s="81"/>
      <c r="G38" s="76"/>
      <c r="H38" s="149">
        <f t="shared" si="3"/>
        <v>0</v>
      </c>
      <c r="I38" s="150"/>
      <c r="J38" s="102">
        <f t="shared" si="4"/>
        <v>0</v>
      </c>
      <c r="K38" s="83">
        <f t="shared" si="5"/>
        <v>0</v>
      </c>
    </row>
    <row r="39" spans="1:11" ht="15.75" thickBot="1" x14ac:dyDescent="0.3">
      <c r="A39" s="72"/>
      <c r="B39" s="86">
        <f>SUM(B27:B38)</f>
        <v>48</v>
      </c>
      <c r="C39" s="86">
        <f t="shared" ref="C39:H39" si="6">SUM(C27:C38)</f>
        <v>0</v>
      </c>
      <c r="D39" s="86">
        <f t="shared" si="6"/>
        <v>5</v>
      </c>
      <c r="E39" s="86">
        <f t="shared" si="6"/>
        <v>4.8000000000000007</v>
      </c>
      <c r="F39" s="86">
        <f t="shared" si="6"/>
        <v>17.600000000000001</v>
      </c>
      <c r="G39" s="86">
        <f t="shared" si="6"/>
        <v>0</v>
      </c>
      <c r="H39" s="151">
        <f t="shared" si="6"/>
        <v>0</v>
      </c>
      <c r="I39" s="152"/>
      <c r="J39" s="84">
        <f>SUM(J27:J38)</f>
        <v>35.840000000000003</v>
      </c>
      <c r="K39" s="85">
        <f>SUM(K27:K38)</f>
        <v>454.34</v>
      </c>
    </row>
  </sheetData>
  <mergeCells count="40">
    <mergeCell ref="A5:D5"/>
    <mergeCell ref="E5:F5"/>
    <mergeCell ref="G5:H5"/>
    <mergeCell ref="J5:K5"/>
    <mergeCell ref="L5:N5"/>
    <mergeCell ref="B2:B3"/>
    <mergeCell ref="D2:D3"/>
    <mergeCell ref="F2:I3"/>
    <mergeCell ref="L2:N3"/>
    <mergeCell ref="A4:D4"/>
    <mergeCell ref="A6:D6"/>
    <mergeCell ref="E6:F6"/>
    <mergeCell ref="G6:H6"/>
    <mergeCell ref="L6:N6"/>
    <mergeCell ref="A7:D7"/>
    <mergeCell ref="E7:F7"/>
    <mergeCell ref="G7:H7"/>
    <mergeCell ref="L7:N7"/>
    <mergeCell ref="H29:I29"/>
    <mergeCell ref="A25:A26"/>
    <mergeCell ref="B25:B26"/>
    <mergeCell ref="C25:C26"/>
    <mergeCell ref="D25:D26"/>
    <mergeCell ref="E25:E26"/>
    <mergeCell ref="F25:F26"/>
    <mergeCell ref="G25:G26"/>
    <mergeCell ref="H25:K25"/>
    <mergeCell ref="H26:I26"/>
    <mergeCell ref="H27:I27"/>
    <mergeCell ref="H28:I28"/>
    <mergeCell ref="H36:I36"/>
    <mergeCell ref="H37:I37"/>
    <mergeCell ref="H38:I38"/>
    <mergeCell ref="H39:I39"/>
    <mergeCell ref="H30:I30"/>
    <mergeCell ref="H31:I31"/>
    <mergeCell ref="H32:I32"/>
    <mergeCell ref="H33:I33"/>
    <mergeCell ref="H34:I34"/>
    <mergeCell ref="H35:I35"/>
  </mergeCell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E1F5C1-1668-44BE-85E7-7774E4148C7A}">
  <dimension ref="A2:P40"/>
  <sheetViews>
    <sheetView tabSelected="1" workbookViewId="0">
      <selection activeCell="I24" sqref="I24"/>
    </sheetView>
  </sheetViews>
  <sheetFormatPr defaultColWidth="10.7109375" defaultRowHeight="14.25" x14ac:dyDescent="0.2"/>
  <cols>
    <col min="1" max="1" width="8.140625" style="26" customWidth="1"/>
    <col min="2" max="11" width="14.28515625" style="26" customWidth="1"/>
    <col min="12" max="12" width="1.7109375" style="26" customWidth="1"/>
    <col min="13" max="14" width="12.5703125" style="26" customWidth="1"/>
    <col min="15" max="16" width="14.42578125" style="127" customWidth="1"/>
    <col min="17" max="256" width="10.7109375" style="26"/>
    <col min="257" max="257" width="8.140625" style="26" customWidth="1"/>
    <col min="258" max="258" width="14" style="26" customWidth="1"/>
    <col min="259" max="259" width="10.28515625" style="26" customWidth="1"/>
    <col min="260" max="260" width="10.140625" style="26" customWidth="1"/>
    <col min="261" max="261" width="11.42578125" style="26" customWidth="1"/>
    <col min="262" max="262" width="9.7109375" style="26" customWidth="1"/>
    <col min="263" max="263" width="19.5703125" style="26" customWidth="1"/>
    <col min="264" max="264" width="12.140625" style="26" customWidth="1"/>
    <col min="265" max="265" width="11.140625" style="26" customWidth="1"/>
    <col min="266" max="266" width="9.140625" style="26" customWidth="1"/>
    <col min="267" max="267" width="11.7109375" style="26" customWidth="1"/>
    <col min="268" max="268" width="1.7109375" style="26" customWidth="1"/>
    <col min="269" max="269" width="10.7109375" style="26"/>
    <col min="270" max="270" width="8.42578125" style="26" customWidth="1"/>
    <col min="271" max="512" width="10.7109375" style="26"/>
    <col min="513" max="513" width="8.140625" style="26" customWidth="1"/>
    <col min="514" max="514" width="14" style="26" customWidth="1"/>
    <col min="515" max="515" width="10.28515625" style="26" customWidth="1"/>
    <col min="516" max="516" width="10.140625" style="26" customWidth="1"/>
    <col min="517" max="517" width="11.42578125" style="26" customWidth="1"/>
    <col min="518" max="518" width="9.7109375" style="26" customWidth="1"/>
    <col min="519" max="519" width="19.5703125" style="26" customWidth="1"/>
    <col min="520" max="520" width="12.140625" style="26" customWidth="1"/>
    <col min="521" max="521" width="11.140625" style="26" customWidth="1"/>
    <col min="522" max="522" width="9.140625" style="26" customWidth="1"/>
    <col min="523" max="523" width="11.7109375" style="26" customWidth="1"/>
    <col min="524" max="524" width="1.7109375" style="26" customWidth="1"/>
    <col min="525" max="525" width="10.7109375" style="26"/>
    <col min="526" max="526" width="8.42578125" style="26" customWidth="1"/>
    <col min="527" max="768" width="10.7109375" style="26"/>
    <col min="769" max="769" width="8.140625" style="26" customWidth="1"/>
    <col min="770" max="770" width="14" style="26" customWidth="1"/>
    <col min="771" max="771" width="10.28515625" style="26" customWidth="1"/>
    <col min="772" max="772" width="10.140625" style="26" customWidth="1"/>
    <col min="773" max="773" width="11.42578125" style="26" customWidth="1"/>
    <col min="774" max="774" width="9.7109375" style="26" customWidth="1"/>
    <col min="775" max="775" width="19.5703125" style="26" customWidth="1"/>
    <col min="776" max="776" width="12.140625" style="26" customWidth="1"/>
    <col min="777" max="777" width="11.140625" style="26" customWidth="1"/>
    <col min="778" max="778" width="9.140625" style="26" customWidth="1"/>
    <col min="779" max="779" width="11.7109375" style="26" customWidth="1"/>
    <col min="780" max="780" width="1.7109375" style="26" customWidth="1"/>
    <col min="781" max="781" width="10.7109375" style="26"/>
    <col min="782" max="782" width="8.42578125" style="26" customWidth="1"/>
    <col min="783" max="1024" width="10.7109375" style="26"/>
    <col min="1025" max="1025" width="8.140625" style="26" customWidth="1"/>
    <col min="1026" max="1026" width="14" style="26" customWidth="1"/>
    <col min="1027" max="1027" width="10.28515625" style="26" customWidth="1"/>
    <col min="1028" max="1028" width="10.140625" style="26" customWidth="1"/>
    <col min="1029" max="1029" width="11.42578125" style="26" customWidth="1"/>
    <col min="1030" max="1030" width="9.7109375" style="26" customWidth="1"/>
    <col min="1031" max="1031" width="19.5703125" style="26" customWidth="1"/>
    <col min="1032" max="1032" width="12.140625" style="26" customWidth="1"/>
    <col min="1033" max="1033" width="11.140625" style="26" customWidth="1"/>
    <col min="1034" max="1034" width="9.140625" style="26" customWidth="1"/>
    <col min="1035" max="1035" width="11.7109375" style="26" customWidth="1"/>
    <col min="1036" max="1036" width="1.7109375" style="26" customWidth="1"/>
    <col min="1037" max="1037" width="10.7109375" style="26"/>
    <col min="1038" max="1038" width="8.42578125" style="26" customWidth="1"/>
    <col min="1039" max="1280" width="10.7109375" style="26"/>
    <col min="1281" max="1281" width="8.140625" style="26" customWidth="1"/>
    <col min="1282" max="1282" width="14" style="26" customWidth="1"/>
    <col min="1283" max="1283" width="10.28515625" style="26" customWidth="1"/>
    <col min="1284" max="1284" width="10.140625" style="26" customWidth="1"/>
    <col min="1285" max="1285" width="11.42578125" style="26" customWidth="1"/>
    <col min="1286" max="1286" width="9.7109375" style="26" customWidth="1"/>
    <col min="1287" max="1287" width="19.5703125" style="26" customWidth="1"/>
    <col min="1288" max="1288" width="12.140625" style="26" customWidth="1"/>
    <col min="1289" max="1289" width="11.140625" style="26" customWidth="1"/>
    <col min="1290" max="1290" width="9.140625" style="26" customWidth="1"/>
    <col min="1291" max="1291" width="11.7109375" style="26" customWidth="1"/>
    <col min="1292" max="1292" width="1.7109375" style="26" customWidth="1"/>
    <col min="1293" max="1293" width="10.7109375" style="26"/>
    <col min="1294" max="1294" width="8.42578125" style="26" customWidth="1"/>
    <col min="1295" max="1536" width="10.7109375" style="26"/>
    <col min="1537" max="1537" width="8.140625" style="26" customWidth="1"/>
    <col min="1538" max="1538" width="14" style="26" customWidth="1"/>
    <col min="1539" max="1539" width="10.28515625" style="26" customWidth="1"/>
    <col min="1540" max="1540" width="10.140625" style="26" customWidth="1"/>
    <col min="1541" max="1541" width="11.42578125" style="26" customWidth="1"/>
    <col min="1542" max="1542" width="9.7109375" style="26" customWidth="1"/>
    <col min="1543" max="1543" width="19.5703125" style="26" customWidth="1"/>
    <col min="1544" max="1544" width="12.140625" style="26" customWidth="1"/>
    <col min="1545" max="1545" width="11.140625" style="26" customWidth="1"/>
    <col min="1546" max="1546" width="9.140625" style="26" customWidth="1"/>
    <col min="1547" max="1547" width="11.7109375" style="26" customWidth="1"/>
    <col min="1548" max="1548" width="1.7109375" style="26" customWidth="1"/>
    <col min="1549" max="1549" width="10.7109375" style="26"/>
    <col min="1550" max="1550" width="8.42578125" style="26" customWidth="1"/>
    <col min="1551" max="1792" width="10.7109375" style="26"/>
    <col min="1793" max="1793" width="8.140625" style="26" customWidth="1"/>
    <col min="1794" max="1794" width="14" style="26" customWidth="1"/>
    <col min="1795" max="1795" width="10.28515625" style="26" customWidth="1"/>
    <col min="1796" max="1796" width="10.140625" style="26" customWidth="1"/>
    <col min="1797" max="1797" width="11.42578125" style="26" customWidth="1"/>
    <col min="1798" max="1798" width="9.7109375" style="26" customWidth="1"/>
    <col min="1799" max="1799" width="19.5703125" style="26" customWidth="1"/>
    <col min="1800" max="1800" width="12.140625" style="26" customWidth="1"/>
    <col min="1801" max="1801" width="11.140625" style="26" customWidth="1"/>
    <col min="1802" max="1802" width="9.140625" style="26" customWidth="1"/>
    <col min="1803" max="1803" width="11.7109375" style="26" customWidth="1"/>
    <col min="1804" max="1804" width="1.7109375" style="26" customWidth="1"/>
    <col min="1805" max="1805" width="10.7109375" style="26"/>
    <col min="1806" max="1806" width="8.42578125" style="26" customWidth="1"/>
    <col min="1807" max="2048" width="10.7109375" style="26"/>
    <col min="2049" max="2049" width="8.140625" style="26" customWidth="1"/>
    <col min="2050" max="2050" width="14" style="26" customWidth="1"/>
    <col min="2051" max="2051" width="10.28515625" style="26" customWidth="1"/>
    <col min="2052" max="2052" width="10.140625" style="26" customWidth="1"/>
    <col min="2053" max="2053" width="11.42578125" style="26" customWidth="1"/>
    <col min="2054" max="2054" width="9.7109375" style="26" customWidth="1"/>
    <col min="2055" max="2055" width="19.5703125" style="26" customWidth="1"/>
    <col min="2056" max="2056" width="12.140625" style="26" customWidth="1"/>
    <col min="2057" max="2057" width="11.140625" style="26" customWidth="1"/>
    <col min="2058" max="2058" width="9.140625" style="26" customWidth="1"/>
    <col min="2059" max="2059" width="11.7109375" style="26" customWidth="1"/>
    <col min="2060" max="2060" width="1.7109375" style="26" customWidth="1"/>
    <col min="2061" max="2061" width="10.7109375" style="26"/>
    <col min="2062" max="2062" width="8.42578125" style="26" customWidth="1"/>
    <col min="2063" max="2304" width="10.7109375" style="26"/>
    <col min="2305" max="2305" width="8.140625" style="26" customWidth="1"/>
    <col min="2306" max="2306" width="14" style="26" customWidth="1"/>
    <col min="2307" max="2307" width="10.28515625" style="26" customWidth="1"/>
    <col min="2308" max="2308" width="10.140625" style="26" customWidth="1"/>
    <col min="2309" max="2309" width="11.42578125" style="26" customWidth="1"/>
    <col min="2310" max="2310" width="9.7109375" style="26" customWidth="1"/>
    <col min="2311" max="2311" width="19.5703125" style="26" customWidth="1"/>
    <col min="2312" max="2312" width="12.140625" style="26" customWidth="1"/>
    <col min="2313" max="2313" width="11.140625" style="26" customWidth="1"/>
    <col min="2314" max="2314" width="9.140625" style="26" customWidth="1"/>
    <col min="2315" max="2315" width="11.7109375" style="26" customWidth="1"/>
    <col min="2316" max="2316" width="1.7109375" style="26" customWidth="1"/>
    <col min="2317" max="2317" width="10.7109375" style="26"/>
    <col min="2318" max="2318" width="8.42578125" style="26" customWidth="1"/>
    <col min="2319" max="2560" width="10.7109375" style="26"/>
    <col min="2561" max="2561" width="8.140625" style="26" customWidth="1"/>
    <col min="2562" max="2562" width="14" style="26" customWidth="1"/>
    <col min="2563" max="2563" width="10.28515625" style="26" customWidth="1"/>
    <col min="2564" max="2564" width="10.140625" style="26" customWidth="1"/>
    <col min="2565" max="2565" width="11.42578125" style="26" customWidth="1"/>
    <col min="2566" max="2566" width="9.7109375" style="26" customWidth="1"/>
    <col min="2567" max="2567" width="19.5703125" style="26" customWidth="1"/>
    <col min="2568" max="2568" width="12.140625" style="26" customWidth="1"/>
    <col min="2569" max="2569" width="11.140625" style="26" customWidth="1"/>
    <col min="2570" max="2570" width="9.140625" style="26" customWidth="1"/>
    <col min="2571" max="2571" width="11.7109375" style="26" customWidth="1"/>
    <col min="2572" max="2572" width="1.7109375" style="26" customWidth="1"/>
    <col min="2573" max="2573" width="10.7109375" style="26"/>
    <col min="2574" max="2574" width="8.42578125" style="26" customWidth="1"/>
    <col min="2575" max="2816" width="10.7109375" style="26"/>
    <col min="2817" max="2817" width="8.140625" style="26" customWidth="1"/>
    <col min="2818" max="2818" width="14" style="26" customWidth="1"/>
    <col min="2819" max="2819" width="10.28515625" style="26" customWidth="1"/>
    <col min="2820" max="2820" width="10.140625" style="26" customWidth="1"/>
    <col min="2821" max="2821" width="11.42578125" style="26" customWidth="1"/>
    <col min="2822" max="2822" width="9.7109375" style="26" customWidth="1"/>
    <col min="2823" max="2823" width="19.5703125" style="26" customWidth="1"/>
    <col min="2824" max="2824" width="12.140625" style="26" customWidth="1"/>
    <col min="2825" max="2825" width="11.140625" style="26" customWidth="1"/>
    <col min="2826" max="2826" width="9.140625" style="26" customWidth="1"/>
    <col min="2827" max="2827" width="11.7109375" style="26" customWidth="1"/>
    <col min="2828" max="2828" width="1.7109375" style="26" customWidth="1"/>
    <col min="2829" max="2829" width="10.7109375" style="26"/>
    <col min="2830" max="2830" width="8.42578125" style="26" customWidth="1"/>
    <col min="2831" max="3072" width="10.7109375" style="26"/>
    <col min="3073" max="3073" width="8.140625" style="26" customWidth="1"/>
    <col min="3074" max="3074" width="14" style="26" customWidth="1"/>
    <col min="3075" max="3075" width="10.28515625" style="26" customWidth="1"/>
    <col min="3076" max="3076" width="10.140625" style="26" customWidth="1"/>
    <col min="3077" max="3077" width="11.42578125" style="26" customWidth="1"/>
    <col min="3078" max="3078" width="9.7109375" style="26" customWidth="1"/>
    <col min="3079" max="3079" width="19.5703125" style="26" customWidth="1"/>
    <col min="3080" max="3080" width="12.140625" style="26" customWidth="1"/>
    <col min="3081" max="3081" width="11.140625" style="26" customWidth="1"/>
    <col min="3082" max="3082" width="9.140625" style="26" customWidth="1"/>
    <col min="3083" max="3083" width="11.7109375" style="26" customWidth="1"/>
    <col min="3084" max="3084" width="1.7109375" style="26" customWidth="1"/>
    <col min="3085" max="3085" width="10.7109375" style="26"/>
    <col min="3086" max="3086" width="8.42578125" style="26" customWidth="1"/>
    <col min="3087" max="3328" width="10.7109375" style="26"/>
    <col min="3329" max="3329" width="8.140625" style="26" customWidth="1"/>
    <col min="3330" max="3330" width="14" style="26" customWidth="1"/>
    <col min="3331" max="3331" width="10.28515625" style="26" customWidth="1"/>
    <col min="3332" max="3332" width="10.140625" style="26" customWidth="1"/>
    <col min="3333" max="3333" width="11.42578125" style="26" customWidth="1"/>
    <col min="3334" max="3334" width="9.7109375" style="26" customWidth="1"/>
    <col min="3335" max="3335" width="19.5703125" style="26" customWidth="1"/>
    <col min="3336" max="3336" width="12.140625" style="26" customWidth="1"/>
    <col min="3337" max="3337" width="11.140625" style="26" customWidth="1"/>
    <col min="3338" max="3338" width="9.140625" style="26" customWidth="1"/>
    <col min="3339" max="3339" width="11.7109375" style="26" customWidth="1"/>
    <col min="3340" max="3340" width="1.7109375" style="26" customWidth="1"/>
    <col min="3341" max="3341" width="10.7109375" style="26"/>
    <col min="3342" max="3342" width="8.42578125" style="26" customWidth="1"/>
    <col min="3343" max="3584" width="10.7109375" style="26"/>
    <col min="3585" max="3585" width="8.140625" style="26" customWidth="1"/>
    <col min="3586" max="3586" width="14" style="26" customWidth="1"/>
    <col min="3587" max="3587" width="10.28515625" style="26" customWidth="1"/>
    <col min="3588" max="3588" width="10.140625" style="26" customWidth="1"/>
    <col min="3589" max="3589" width="11.42578125" style="26" customWidth="1"/>
    <col min="3590" max="3590" width="9.7109375" style="26" customWidth="1"/>
    <col min="3591" max="3591" width="19.5703125" style="26" customWidth="1"/>
    <col min="3592" max="3592" width="12.140625" style="26" customWidth="1"/>
    <col min="3593" max="3593" width="11.140625" style="26" customWidth="1"/>
    <col min="3594" max="3594" width="9.140625" style="26" customWidth="1"/>
    <col min="3595" max="3595" width="11.7109375" style="26" customWidth="1"/>
    <col min="3596" max="3596" width="1.7109375" style="26" customWidth="1"/>
    <col min="3597" max="3597" width="10.7109375" style="26"/>
    <col min="3598" max="3598" width="8.42578125" style="26" customWidth="1"/>
    <col min="3599" max="3840" width="10.7109375" style="26"/>
    <col min="3841" max="3841" width="8.140625" style="26" customWidth="1"/>
    <col min="3842" max="3842" width="14" style="26" customWidth="1"/>
    <col min="3843" max="3843" width="10.28515625" style="26" customWidth="1"/>
    <col min="3844" max="3844" width="10.140625" style="26" customWidth="1"/>
    <col min="3845" max="3845" width="11.42578125" style="26" customWidth="1"/>
    <col min="3846" max="3846" width="9.7109375" style="26" customWidth="1"/>
    <col min="3847" max="3847" width="19.5703125" style="26" customWidth="1"/>
    <col min="3848" max="3848" width="12.140625" style="26" customWidth="1"/>
    <col min="3849" max="3849" width="11.140625" style="26" customWidth="1"/>
    <col min="3850" max="3850" width="9.140625" style="26" customWidth="1"/>
    <col min="3851" max="3851" width="11.7109375" style="26" customWidth="1"/>
    <col min="3852" max="3852" width="1.7109375" style="26" customWidth="1"/>
    <col min="3853" max="3853" width="10.7109375" style="26"/>
    <col min="3854" max="3854" width="8.42578125" style="26" customWidth="1"/>
    <col min="3855" max="4096" width="10.7109375" style="26"/>
    <col min="4097" max="4097" width="8.140625" style="26" customWidth="1"/>
    <col min="4098" max="4098" width="14" style="26" customWidth="1"/>
    <col min="4099" max="4099" width="10.28515625" style="26" customWidth="1"/>
    <col min="4100" max="4100" width="10.140625" style="26" customWidth="1"/>
    <col min="4101" max="4101" width="11.42578125" style="26" customWidth="1"/>
    <col min="4102" max="4102" width="9.7109375" style="26" customWidth="1"/>
    <col min="4103" max="4103" width="19.5703125" style="26" customWidth="1"/>
    <col min="4104" max="4104" width="12.140625" style="26" customWidth="1"/>
    <col min="4105" max="4105" width="11.140625" style="26" customWidth="1"/>
    <col min="4106" max="4106" width="9.140625" style="26" customWidth="1"/>
    <col min="4107" max="4107" width="11.7109375" style="26" customWidth="1"/>
    <col min="4108" max="4108" width="1.7109375" style="26" customWidth="1"/>
    <col min="4109" max="4109" width="10.7109375" style="26"/>
    <col min="4110" max="4110" width="8.42578125" style="26" customWidth="1"/>
    <col min="4111" max="4352" width="10.7109375" style="26"/>
    <col min="4353" max="4353" width="8.140625" style="26" customWidth="1"/>
    <col min="4354" max="4354" width="14" style="26" customWidth="1"/>
    <col min="4355" max="4355" width="10.28515625" style="26" customWidth="1"/>
    <col min="4356" max="4356" width="10.140625" style="26" customWidth="1"/>
    <col min="4357" max="4357" width="11.42578125" style="26" customWidth="1"/>
    <col min="4358" max="4358" width="9.7109375" style="26" customWidth="1"/>
    <col min="4359" max="4359" width="19.5703125" style="26" customWidth="1"/>
    <col min="4360" max="4360" width="12.140625" style="26" customWidth="1"/>
    <col min="4361" max="4361" width="11.140625" style="26" customWidth="1"/>
    <col min="4362" max="4362" width="9.140625" style="26" customWidth="1"/>
    <col min="4363" max="4363" width="11.7109375" style="26" customWidth="1"/>
    <col min="4364" max="4364" width="1.7109375" style="26" customWidth="1"/>
    <col min="4365" max="4365" width="10.7109375" style="26"/>
    <col min="4366" max="4366" width="8.42578125" style="26" customWidth="1"/>
    <col min="4367" max="4608" width="10.7109375" style="26"/>
    <col min="4609" max="4609" width="8.140625" style="26" customWidth="1"/>
    <col min="4610" max="4610" width="14" style="26" customWidth="1"/>
    <col min="4611" max="4611" width="10.28515625" style="26" customWidth="1"/>
    <col min="4612" max="4612" width="10.140625" style="26" customWidth="1"/>
    <col min="4613" max="4613" width="11.42578125" style="26" customWidth="1"/>
    <col min="4614" max="4614" width="9.7109375" style="26" customWidth="1"/>
    <col min="4615" max="4615" width="19.5703125" style="26" customWidth="1"/>
    <col min="4616" max="4616" width="12.140625" style="26" customWidth="1"/>
    <col min="4617" max="4617" width="11.140625" style="26" customWidth="1"/>
    <col min="4618" max="4618" width="9.140625" style="26" customWidth="1"/>
    <col min="4619" max="4619" width="11.7109375" style="26" customWidth="1"/>
    <col min="4620" max="4620" width="1.7109375" style="26" customWidth="1"/>
    <col min="4621" max="4621" width="10.7109375" style="26"/>
    <col min="4622" max="4622" width="8.42578125" style="26" customWidth="1"/>
    <col min="4623" max="4864" width="10.7109375" style="26"/>
    <col min="4865" max="4865" width="8.140625" style="26" customWidth="1"/>
    <col min="4866" max="4866" width="14" style="26" customWidth="1"/>
    <col min="4867" max="4867" width="10.28515625" style="26" customWidth="1"/>
    <col min="4868" max="4868" width="10.140625" style="26" customWidth="1"/>
    <col min="4869" max="4869" width="11.42578125" style="26" customWidth="1"/>
    <col min="4870" max="4870" width="9.7109375" style="26" customWidth="1"/>
    <col min="4871" max="4871" width="19.5703125" style="26" customWidth="1"/>
    <col min="4872" max="4872" width="12.140625" style="26" customWidth="1"/>
    <col min="4873" max="4873" width="11.140625" style="26" customWidth="1"/>
    <col min="4874" max="4874" width="9.140625" style="26" customWidth="1"/>
    <col min="4875" max="4875" width="11.7109375" style="26" customWidth="1"/>
    <col min="4876" max="4876" width="1.7109375" style="26" customWidth="1"/>
    <col min="4877" max="4877" width="10.7109375" style="26"/>
    <col min="4878" max="4878" width="8.42578125" style="26" customWidth="1"/>
    <col min="4879" max="5120" width="10.7109375" style="26"/>
    <col min="5121" max="5121" width="8.140625" style="26" customWidth="1"/>
    <col min="5122" max="5122" width="14" style="26" customWidth="1"/>
    <col min="5123" max="5123" width="10.28515625" style="26" customWidth="1"/>
    <col min="5124" max="5124" width="10.140625" style="26" customWidth="1"/>
    <col min="5125" max="5125" width="11.42578125" style="26" customWidth="1"/>
    <col min="5126" max="5126" width="9.7109375" style="26" customWidth="1"/>
    <col min="5127" max="5127" width="19.5703125" style="26" customWidth="1"/>
    <col min="5128" max="5128" width="12.140625" style="26" customWidth="1"/>
    <col min="5129" max="5129" width="11.140625" style="26" customWidth="1"/>
    <col min="5130" max="5130" width="9.140625" style="26" customWidth="1"/>
    <col min="5131" max="5131" width="11.7109375" style="26" customWidth="1"/>
    <col min="5132" max="5132" width="1.7109375" style="26" customWidth="1"/>
    <col min="5133" max="5133" width="10.7109375" style="26"/>
    <col min="5134" max="5134" width="8.42578125" style="26" customWidth="1"/>
    <col min="5135" max="5376" width="10.7109375" style="26"/>
    <col min="5377" max="5377" width="8.140625" style="26" customWidth="1"/>
    <col min="5378" max="5378" width="14" style="26" customWidth="1"/>
    <col min="5379" max="5379" width="10.28515625" style="26" customWidth="1"/>
    <col min="5380" max="5380" width="10.140625" style="26" customWidth="1"/>
    <col min="5381" max="5381" width="11.42578125" style="26" customWidth="1"/>
    <col min="5382" max="5382" width="9.7109375" style="26" customWidth="1"/>
    <col min="5383" max="5383" width="19.5703125" style="26" customWidth="1"/>
    <col min="5384" max="5384" width="12.140625" style="26" customWidth="1"/>
    <col min="5385" max="5385" width="11.140625" style="26" customWidth="1"/>
    <col min="5386" max="5386" width="9.140625" style="26" customWidth="1"/>
    <col min="5387" max="5387" width="11.7109375" style="26" customWidth="1"/>
    <col min="5388" max="5388" width="1.7109375" style="26" customWidth="1"/>
    <col min="5389" max="5389" width="10.7109375" style="26"/>
    <col min="5390" max="5390" width="8.42578125" style="26" customWidth="1"/>
    <col min="5391" max="5632" width="10.7109375" style="26"/>
    <col min="5633" max="5633" width="8.140625" style="26" customWidth="1"/>
    <col min="5634" max="5634" width="14" style="26" customWidth="1"/>
    <col min="5635" max="5635" width="10.28515625" style="26" customWidth="1"/>
    <col min="5636" max="5636" width="10.140625" style="26" customWidth="1"/>
    <col min="5637" max="5637" width="11.42578125" style="26" customWidth="1"/>
    <col min="5638" max="5638" width="9.7109375" style="26" customWidth="1"/>
    <col min="5639" max="5639" width="19.5703125" style="26" customWidth="1"/>
    <col min="5640" max="5640" width="12.140625" style="26" customWidth="1"/>
    <col min="5641" max="5641" width="11.140625" style="26" customWidth="1"/>
    <col min="5642" max="5642" width="9.140625" style="26" customWidth="1"/>
    <col min="5643" max="5643" width="11.7109375" style="26" customWidth="1"/>
    <col min="5644" max="5644" width="1.7109375" style="26" customWidth="1"/>
    <col min="5645" max="5645" width="10.7109375" style="26"/>
    <col min="5646" max="5646" width="8.42578125" style="26" customWidth="1"/>
    <col min="5647" max="5888" width="10.7109375" style="26"/>
    <col min="5889" max="5889" width="8.140625" style="26" customWidth="1"/>
    <col min="5890" max="5890" width="14" style="26" customWidth="1"/>
    <col min="5891" max="5891" width="10.28515625" style="26" customWidth="1"/>
    <col min="5892" max="5892" width="10.140625" style="26" customWidth="1"/>
    <col min="5893" max="5893" width="11.42578125" style="26" customWidth="1"/>
    <col min="5894" max="5894" width="9.7109375" style="26" customWidth="1"/>
    <col min="5895" max="5895" width="19.5703125" style="26" customWidth="1"/>
    <col min="5896" max="5896" width="12.140625" style="26" customWidth="1"/>
    <col min="5897" max="5897" width="11.140625" style="26" customWidth="1"/>
    <col min="5898" max="5898" width="9.140625" style="26" customWidth="1"/>
    <col min="5899" max="5899" width="11.7109375" style="26" customWidth="1"/>
    <col min="5900" max="5900" width="1.7109375" style="26" customWidth="1"/>
    <col min="5901" max="5901" width="10.7109375" style="26"/>
    <col min="5902" max="5902" width="8.42578125" style="26" customWidth="1"/>
    <col min="5903" max="6144" width="10.7109375" style="26"/>
    <col min="6145" max="6145" width="8.140625" style="26" customWidth="1"/>
    <col min="6146" max="6146" width="14" style="26" customWidth="1"/>
    <col min="6147" max="6147" width="10.28515625" style="26" customWidth="1"/>
    <col min="6148" max="6148" width="10.140625" style="26" customWidth="1"/>
    <col min="6149" max="6149" width="11.42578125" style="26" customWidth="1"/>
    <col min="6150" max="6150" width="9.7109375" style="26" customWidth="1"/>
    <col min="6151" max="6151" width="19.5703125" style="26" customWidth="1"/>
    <col min="6152" max="6152" width="12.140625" style="26" customWidth="1"/>
    <col min="6153" max="6153" width="11.140625" style="26" customWidth="1"/>
    <col min="6154" max="6154" width="9.140625" style="26" customWidth="1"/>
    <col min="6155" max="6155" width="11.7109375" style="26" customWidth="1"/>
    <col min="6156" max="6156" width="1.7109375" style="26" customWidth="1"/>
    <col min="6157" max="6157" width="10.7109375" style="26"/>
    <col min="6158" max="6158" width="8.42578125" style="26" customWidth="1"/>
    <col min="6159" max="6400" width="10.7109375" style="26"/>
    <col min="6401" max="6401" width="8.140625" style="26" customWidth="1"/>
    <col min="6402" max="6402" width="14" style="26" customWidth="1"/>
    <col min="6403" max="6403" width="10.28515625" style="26" customWidth="1"/>
    <col min="6404" max="6404" width="10.140625" style="26" customWidth="1"/>
    <col min="6405" max="6405" width="11.42578125" style="26" customWidth="1"/>
    <col min="6406" max="6406" width="9.7109375" style="26" customWidth="1"/>
    <col min="6407" max="6407" width="19.5703125" style="26" customWidth="1"/>
    <col min="6408" max="6408" width="12.140625" style="26" customWidth="1"/>
    <col min="6409" max="6409" width="11.140625" style="26" customWidth="1"/>
    <col min="6410" max="6410" width="9.140625" style="26" customWidth="1"/>
    <col min="6411" max="6411" width="11.7109375" style="26" customWidth="1"/>
    <col min="6412" max="6412" width="1.7109375" style="26" customWidth="1"/>
    <col min="6413" max="6413" width="10.7109375" style="26"/>
    <col min="6414" max="6414" width="8.42578125" style="26" customWidth="1"/>
    <col min="6415" max="6656" width="10.7109375" style="26"/>
    <col min="6657" max="6657" width="8.140625" style="26" customWidth="1"/>
    <col min="6658" max="6658" width="14" style="26" customWidth="1"/>
    <col min="6659" max="6659" width="10.28515625" style="26" customWidth="1"/>
    <col min="6660" max="6660" width="10.140625" style="26" customWidth="1"/>
    <col min="6661" max="6661" width="11.42578125" style="26" customWidth="1"/>
    <col min="6662" max="6662" width="9.7109375" style="26" customWidth="1"/>
    <col min="6663" max="6663" width="19.5703125" style="26" customWidth="1"/>
    <col min="6664" max="6664" width="12.140625" style="26" customWidth="1"/>
    <col min="6665" max="6665" width="11.140625" style="26" customWidth="1"/>
    <col min="6666" max="6666" width="9.140625" style="26" customWidth="1"/>
    <col min="6667" max="6667" width="11.7109375" style="26" customWidth="1"/>
    <col min="6668" max="6668" width="1.7109375" style="26" customWidth="1"/>
    <col min="6669" max="6669" width="10.7109375" style="26"/>
    <col min="6670" max="6670" width="8.42578125" style="26" customWidth="1"/>
    <col min="6671" max="6912" width="10.7109375" style="26"/>
    <col min="6913" max="6913" width="8.140625" style="26" customWidth="1"/>
    <col min="6914" max="6914" width="14" style="26" customWidth="1"/>
    <col min="6915" max="6915" width="10.28515625" style="26" customWidth="1"/>
    <col min="6916" max="6916" width="10.140625" style="26" customWidth="1"/>
    <col min="6917" max="6917" width="11.42578125" style="26" customWidth="1"/>
    <col min="6918" max="6918" width="9.7109375" style="26" customWidth="1"/>
    <col min="6919" max="6919" width="19.5703125" style="26" customWidth="1"/>
    <col min="6920" max="6920" width="12.140625" style="26" customWidth="1"/>
    <col min="6921" max="6921" width="11.140625" style="26" customWidth="1"/>
    <col min="6922" max="6922" width="9.140625" style="26" customWidth="1"/>
    <col min="6923" max="6923" width="11.7109375" style="26" customWidth="1"/>
    <col min="6924" max="6924" width="1.7109375" style="26" customWidth="1"/>
    <col min="6925" max="6925" width="10.7109375" style="26"/>
    <col min="6926" max="6926" width="8.42578125" style="26" customWidth="1"/>
    <col min="6927" max="7168" width="10.7109375" style="26"/>
    <col min="7169" max="7169" width="8.140625" style="26" customWidth="1"/>
    <col min="7170" max="7170" width="14" style="26" customWidth="1"/>
    <col min="7171" max="7171" width="10.28515625" style="26" customWidth="1"/>
    <col min="7172" max="7172" width="10.140625" style="26" customWidth="1"/>
    <col min="7173" max="7173" width="11.42578125" style="26" customWidth="1"/>
    <col min="7174" max="7174" width="9.7109375" style="26" customWidth="1"/>
    <col min="7175" max="7175" width="19.5703125" style="26" customWidth="1"/>
    <col min="7176" max="7176" width="12.140625" style="26" customWidth="1"/>
    <col min="7177" max="7177" width="11.140625" style="26" customWidth="1"/>
    <col min="7178" max="7178" width="9.140625" style="26" customWidth="1"/>
    <col min="7179" max="7179" width="11.7109375" style="26" customWidth="1"/>
    <col min="7180" max="7180" width="1.7109375" style="26" customWidth="1"/>
    <col min="7181" max="7181" width="10.7109375" style="26"/>
    <col min="7182" max="7182" width="8.42578125" style="26" customWidth="1"/>
    <col min="7183" max="7424" width="10.7109375" style="26"/>
    <col min="7425" max="7425" width="8.140625" style="26" customWidth="1"/>
    <col min="7426" max="7426" width="14" style="26" customWidth="1"/>
    <col min="7427" max="7427" width="10.28515625" style="26" customWidth="1"/>
    <col min="7428" max="7428" width="10.140625" style="26" customWidth="1"/>
    <col min="7429" max="7429" width="11.42578125" style="26" customWidth="1"/>
    <col min="7430" max="7430" width="9.7109375" style="26" customWidth="1"/>
    <col min="7431" max="7431" width="19.5703125" style="26" customWidth="1"/>
    <col min="7432" max="7432" width="12.140625" style="26" customWidth="1"/>
    <col min="7433" max="7433" width="11.140625" style="26" customWidth="1"/>
    <col min="7434" max="7434" width="9.140625" style="26" customWidth="1"/>
    <col min="7435" max="7435" width="11.7109375" style="26" customWidth="1"/>
    <col min="7436" max="7436" width="1.7109375" style="26" customWidth="1"/>
    <col min="7437" max="7437" width="10.7109375" style="26"/>
    <col min="7438" max="7438" width="8.42578125" style="26" customWidth="1"/>
    <col min="7439" max="7680" width="10.7109375" style="26"/>
    <col min="7681" max="7681" width="8.140625" style="26" customWidth="1"/>
    <col min="7682" max="7682" width="14" style="26" customWidth="1"/>
    <col min="7683" max="7683" width="10.28515625" style="26" customWidth="1"/>
    <col min="7684" max="7684" width="10.140625" style="26" customWidth="1"/>
    <col min="7685" max="7685" width="11.42578125" style="26" customWidth="1"/>
    <col min="7686" max="7686" width="9.7109375" style="26" customWidth="1"/>
    <col min="7687" max="7687" width="19.5703125" style="26" customWidth="1"/>
    <col min="7688" max="7688" width="12.140625" style="26" customWidth="1"/>
    <col min="7689" max="7689" width="11.140625" style="26" customWidth="1"/>
    <col min="7690" max="7690" width="9.140625" style="26" customWidth="1"/>
    <col min="7691" max="7691" width="11.7109375" style="26" customWidth="1"/>
    <col min="7692" max="7692" width="1.7109375" style="26" customWidth="1"/>
    <col min="7693" max="7693" width="10.7109375" style="26"/>
    <col min="7694" max="7694" width="8.42578125" style="26" customWidth="1"/>
    <col min="7695" max="7936" width="10.7109375" style="26"/>
    <col min="7937" max="7937" width="8.140625" style="26" customWidth="1"/>
    <col min="7938" max="7938" width="14" style="26" customWidth="1"/>
    <col min="7939" max="7939" width="10.28515625" style="26" customWidth="1"/>
    <col min="7940" max="7940" width="10.140625" style="26" customWidth="1"/>
    <col min="7941" max="7941" width="11.42578125" style="26" customWidth="1"/>
    <col min="7942" max="7942" width="9.7109375" style="26" customWidth="1"/>
    <col min="7943" max="7943" width="19.5703125" style="26" customWidth="1"/>
    <col min="7944" max="7944" width="12.140625" style="26" customWidth="1"/>
    <col min="7945" max="7945" width="11.140625" style="26" customWidth="1"/>
    <col min="7946" max="7946" width="9.140625" style="26" customWidth="1"/>
    <col min="7947" max="7947" width="11.7109375" style="26" customWidth="1"/>
    <col min="7948" max="7948" width="1.7109375" style="26" customWidth="1"/>
    <col min="7949" max="7949" width="10.7109375" style="26"/>
    <col min="7950" max="7950" width="8.42578125" style="26" customWidth="1"/>
    <col min="7951" max="8192" width="10.7109375" style="26"/>
    <col min="8193" max="8193" width="8.140625" style="26" customWidth="1"/>
    <col min="8194" max="8194" width="14" style="26" customWidth="1"/>
    <col min="8195" max="8195" width="10.28515625" style="26" customWidth="1"/>
    <col min="8196" max="8196" width="10.140625" style="26" customWidth="1"/>
    <col min="8197" max="8197" width="11.42578125" style="26" customWidth="1"/>
    <col min="8198" max="8198" width="9.7109375" style="26" customWidth="1"/>
    <col min="8199" max="8199" width="19.5703125" style="26" customWidth="1"/>
    <col min="8200" max="8200" width="12.140625" style="26" customWidth="1"/>
    <col min="8201" max="8201" width="11.140625" style="26" customWidth="1"/>
    <col min="8202" max="8202" width="9.140625" style="26" customWidth="1"/>
    <col min="8203" max="8203" width="11.7109375" style="26" customWidth="1"/>
    <col min="8204" max="8204" width="1.7109375" style="26" customWidth="1"/>
    <col min="8205" max="8205" width="10.7109375" style="26"/>
    <col min="8206" max="8206" width="8.42578125" style="26" customWidth="1"/>
    <col min="8207" max="8448" width="10.7109375" style="26"/>
    <col min="8449" max="8449" width="8.140625" style="26" customWidth="1"/>
    <col min="8450" max="8450" width="14" style="26" customWidth="1"/>
    <col min="8451" max="8451" width="10.28515625" style="26" customWidth="1"/>
    <col min="8452" max="8452" width="10.140625" style="26" customWidth="1"/>
    <col min="8453" max="8453" width="11.42578125" style="26" customWidth="1"/>
    <col min="8454" max="8454" width="9.7109375" style="26" customWidth="1"/>
    <col min="8455" max="8455" width="19.5703125" style="26" customWidth="1"/>
    <col min="8456" max="8456" width="12.140625" style="26" customWidth="1"/>
    <col min="8457" max="8457" width="11.140625" style="26" customWidth="1"/>
    <col min="8458" max="8458" width="9.140625" style="26" customWidth="1"/>
    <col min="8459" max="8459" width="11.7109375" style="26" customWidth="1"/>
    <col min="8460" max="8460" width="1.7109375" style="26" customWidth="1"/>
    <col min="8461" max="8461" width="10.7109375" style="26"/>
    <col min="8462" max="8462" width="8.42578125" style="26" customWidth="1"/>
    <col min="8463" max="8704" width="10.7109375" style="26"/>
    <col min="8705" max="8705" width="8.140625" style="26" customWidth="1"/>
    <col min="8706" max="8706" width="14" style="26" customWidth="1"/>
    <col min="8707" max="8707" width="10.28515625" style="26" customWidth="1"/>
    <col min="8708" max="8708" width="10.140625" style="26" customWidth="1"/>
    <col min="8709" max="8709" width="11.42578125" style="26" customWidth="1"/>
    <col min="8710" max="8710" width="9.7109375" style="26" customWidth="1"/>
    <col min="8711" max="8711" width="19.5703125" style="26" customWidth="1"/>
    <col min="8712" max="8712" width="12.140625" style="26" customWidth="1"/>
    <col min="8713" max="8713" width="11.140625" style="26" customWidth="1"/>
    <col min="8714" max="8714" width="9.140625" style="26" customWidth="1"/>
    <col min="8715" max="8715" width="11.7109375" style="26" customWidth="1"/>
    <col min="8716" max="8716" width="1.7109375" style="26" customWidth="1"/>
    <col min="8717" max="8717" width="10.7109375" style="26"/>
    <col min="8718" max="8718" width="8.42578125" style="26" customWidth="1"/>
    <col min="8719" max="8960" width="10.7109375" style="26"/>
    <col min="8961" max="8961" width="8.140625" style="26" customWidth="1"/>
    <col min="8962" max="8962" width="14" style="26" customWidth="1"/>
    <col min="8963" max="8963" width="10.28515625" style="26" customWidth="1"/>
    <col min="8964" max="8964" width="10.140625" style="26" customWidth="1"/>
    <col min="8965" max="8965" width="11.42578125" style="26" customWidth="1"/>
    <col min="8966" max="8966" width="9.7109375" style="26" customWidth="1"/>
    <col min="8967" max="8967" width="19.5703125" style="26" customWidth="1"/>
    <col min="8968" max="8968" width="12.140625" style="26" customWidth="1"/>
    <col min="8969" max="8969" width="11.140625" style="26" customWidth="1"/>
    <col min="8970" max="8970" width="9.140625" style="26" customWidth="1"/>
    <col min="8971" max="8971" width="11.7109375" style="26" customWidth="1"/>
    <col min="8972" max="8972" width="1.7109375" style="26" customWidth="1"/>
    <col min="8973" max="8973" width="10.7109375" style="26"/>
    <col min="8974" max="8974" width="8.42578125" style="26" customWidth="1"/>
    <col min="8975" max="9216" width="10.7109375" style="26"/>
    <col min="9217" max="9217" width="8.140625" style="26" customWidth="1"/>
    <col min="9218" max="9218" width="14" style="26" customWidth="1"/>
    <col min="9219" max="9219" width="10.28515625" style="26" customWidth="1"/>
    <col min="9220" max="9220" width="10.140625" style="26" customWidth="1"/>
    <col min="9221" max="9221" width="11.42578125" style="26" customWidth="1"/>
    <col min="9222" max="9222" width="9.7109375" style="26" customWidth="1"/>
    <col min="9223" max="9223" width="19.5703125" style="26" customWidth="1"/>
    <col min="9224" max="9224" width="12.140625" style="26" customWidth="1"/>
    <col min="9225" max="9225" width="11.140625" style="26" customWidth="1"/>
    <col min="9226" max="9226" width="9.140625" style="26" customWidth="1"/>
    <col min="9227" max="9227" width="11.7109375" style="26" customWidth="1"/>
    <col min="9228" max="9228" width="1.7109375" style="26" customWidth="1"/>
    <col min="9229" max="9229" width="10.7109375" style="26"/>
    <col min="9230" max="9230" width="8.42578125" style="26" customWidth="1"/>
    <col min="9231" max="9472" width="10.7109375" style="26"/>
    <col min="9473" max="9473" width="8.140625" style="26" customWidth="1"/>
    <col min="9474" max="9474" width="14" style="26" customWidth="1"/>
    <col min="9475" max="9475" width="10.28515625" style="26" customWidth="1"/>
    <col min="9476" max="9476" width="10.140625" style="26" customWidth="1"/>
    <col min="9477" max="9477" width="11.42578125" style="26" customWidth="1"/>
    <col min="9478" max="9478" width="9.7109375" style="26" customWidth="1"/>
    <col min="9479" max="9479" width="19.5703125" style="26" customWidth="1"/>
    <col min="9480" max="9480" width="12.140625" style="26" customWidth="1"/>
    <col min="9481" max="9481" width="11.140625" style="26" customWidth="1"/>
    <col min="9482" max="9482" width="9.140625" style="26" customWidth="1"/>
    <col min="9483" max="9483" width="11.7109375" style="26" customWidth="1"/>
    <col min="9484" max="9484" width="1.7109375" style="26" customWidth="1"/>
    <col min="9485" max="9485" width="10.7109375" style="26"/>
    <col min="9486" max="9486" width="8.42578125" style="26" customWidth="1"/>
    <col min="9487" max="9728" width="10.7109375" style="26"/>
    <col min="9729" max="9729" width="8.140625" style="26" customWidth="1"/>
    <col min="9730" max="9730" width="14" style="26" customWidth="1"/>
    <col min="9731" max="9731" width="10.28515625" style="26" customWidth="1"/>
    <col min="9732" max="9732" width="10.140625" style="26" customWidth="1"/>
    <col min="9733" max="9733" width="11.42578125" style="26" customWidth="1"/>
    <col min="9734" max="9734" width="9.7109375" style="26" customWidth="1"/>
    <col min="9735" max="9735" width="19.5703125" style="26" customWidth="1"/>
    <col min="9736" max="9736" width="12.140625" style="26" customWidth="1"/>
    <col min="9737" max="9737" width="11.140625" style="26" customWidth="1"/>
    <col min="9738" max="9738" width="9.140625" style="26" customWidth="1"/>
    <col min="9739" max="9739" width="11.7109375" style="26" customWidth="1"/>
    <col min="9740" max="9740" width="1.7109375" style="26" customWidth="1"/>
    <col min="9741" max="9741" width="10.7109375" style="26"/>
    <col min="9742" max="9742" width="8.42578125" style="26" customWidth="1"/>
    <col min="9743" max="9984" width="10.7109375" style="26"/>
    <col min="9985" max="9985" width="8.140625" style="26" customWidth="1"/>
    <col min="9986" max="9986" width="14" style="26" customWidth="1"/>
    <col min="9987" max="9987" width="10.28515625" style="26" customWidth="1"/>
    <col min="9988" max="9988" width="10.140625" style="26" customWidth="1"/>
    <col min="9989" max="9989" width="11.42578125" style="26" customWidth="1"/>
    <col min="9990" max="9990" width="9.7109375" style="26" customWidth="1"/>
    <col min="9991" max="9991" width="19.5703125" style="26" customWidth="1"/>
    <col min="9992" max="9992" width="12.140625" style="26" customWidth="1"/>
    <col min="9993" max="9993" width="11.140625" style="26" customWidth="1"/>
    <col min="9994" max="9994" width="9.140625" style="26" customWidth="1"/>
    <col min="9995" max="9995" width="11.7109375" style="26" customWidth="1"/>
    <col min="9996" max="9996" width="1.7109375" style="26" customWidth="1"/>
    <col min="9997" max="9997" width="10.7109375" style="26"/>
    <col min="9998" max="9998" width="8.42578125" style="26" customWidth="1"/>
    <col min="9999" max="10240" width="10.7109375" style="26"/>
    <col min="10241" max="10241" width="8.140625" style="26" customWidth="1"/>
    <col min="10242" max="10242" width="14" style="26" customWidth="1"/>
    <col min="10243" max="10243" width="10.28515625" style="26" customWidth="1"/>
    <col min="10244" max="10244" width="10.140625" style="26" customWidth="1"/>
    <col min="10245" max="10245" width="11.42578125" style="26" customWidth="1"/>
    <col min="10246" max="10246" width="9.7109375" style="26" customWidth="1"/>
    <col min="10247" max="10247" width="19.5703125" style="26" customWidth="1"/>
    <col min="10248" max="10248" width="12.140625" style="26" customWidth="1"/>
    <col min="10249" max="10249" width="11.140625" style="26" customWidth="1"/>
    <col min="10250" max="10250" width="9.140625" style="26" customWidth="1"/>
    <col min="10251" max="10251" width="11.7109375" style="26" customWidth="1"/>
    <col min="10252" max="10252" width="1.7109375" style="26" customWidth="1"/>
    <col min="10253" max="10253" width="10.7109375" style="26"/>
    <col min="10254" max="10254" width="8.42578125" style="26" customWidth="1"/>
    <col min="10255" max="10496" width="10.7109375" style="26"/>
    <col min="10497" max="10497" width="8.140625" style="26" customWidth="1"/>
    <col min="10498" max="10498" width="14" style="26" customWidth="1"/>
    <col min="10499" max="10499" width="10.28515625" style="26" customWidth="1"/>
    <col min="10500" max="10500" width="10.140625" style="26" customWidth="1"/>
    <col min="10501" max="10501" width="11.42578125" style="26" customWidth="1"/>
    <col min="10502" max="10502" width="9.7109375" style="26" customWidth="1"/>
    <col min="10503" max="10503" width="19.5703125" style="26" customWidth="1"/>
    <col min="10504" max="10504" width="12.140625" style="26" customWidth="1"/>
    <col min="10505" max="10505" width="11.140625" style="26" customWidth="1"/>
    <col min="10506" max="10506" width="9.140625" style="26" customWidth="1"/>
    <col min="10507" max="10507" width="11.7109375" style="26" customWidth="1"/>
    <col min="10508" max="10508" width="1.7109375" style="26" customWidth="1"/>
    <col min="10509" max="10509" width="10.7109375" style="26"/>
    <col min="10510" max="10510" width="8.42578125" style="26" customWidth="1"/>
    <col min="10511" max="10752" width="10.7109375" style="26"/>
    <col min="10753" max="10753" width="8.140625" style="26" customWidth="1"/>
    <col min="10754" max="10754" width="14" style="26" customWidth="1"/>
    <col min="10755" max="10755" width="10.28515625" style="26" customWidth="1"/>
    <col min="10756" max="10756" width="10.140625" style="26" customWidth="1"/>
    <col min="10757" max="10757" width="11.42578125" style="26" customWidth="1"/>
    <col min="10758" max="10758" width="9.7109375" style="26" customWidth="1"/>
    <col min="10759" max="10759" width="19.5703125" style="26" customWidth="1"/>
    <col min="10760" max="10760" width="12.140625" style="26" customWidth="1"/>
    <col min="10761" max="10761" width="11.140625" style="26" customWidth="1"/>
    <col min="10762" max="10762" width="9.140625" style="26" customWidth="1"/>
    <col min="10763" max="10763" width="11.7109375" style="26" customWidth="1"/>
    <col min="10764" max="10764" width="1.7109375" style="26" customWidth="1"/>
    <col min="10765" max="10765" width="10.7109375" style="26"/>
    <col min="10766" max="10766" width="8.42578125" style="26" customWidth="1"/>
    <col min="10767" max="11008" width="10.7109375" style="26"/>
    <col min="11009" max="11009" width="8.140625" style="26" customWidth="1"/>
    <col min="11010" max="11010" width="14" style="26" customWidth="1"/>
    <col min="11011" max="11011" width="10.28515625" style="26" customWidth="1"/>
    <col min="11012" max="11012" width="10.140625" style="26" customWidth="1"/>
    <col min="11013" max="11013" width="11.42578125" style="26" customWidth="1"/>
    <col min="11014" max="11014" width="9.7109375" style="26" customWidth="1"/>
    <col min="11015" max="11015" width="19.5703125" style="26" customWidth="1"/>
    <col min="11016" max="11016" width="12.140625" style="26" customWidth="1"/>
    <col min="11017" max="11017" width="11.140625" style="26" customWidth="1"/>
    <col min="11018" max="11018" width="9.140625" style="26" customWidth="1"/>
    <col min="11019" max="11019" width="11.7109375" style="26" customWidth="1"/>
    <col min="11020" max="11020" width="1.7109375" style="26" customWidth="1"/>
    <col min="11021" max="11021" width="10.7109375" style="26"/>
    <col min="11022" max="11022" width="8.42578125" style="26" customWidth="1"/>
    <col min="11023" max="11264" width="10.7109375" style="26"/>
    <col min="11265" max="11265" width="8.140625" style="26" customWidth="1"/>
    <col min="11266" max="11266" width="14" style="26" customWidth="1"/>
    <col min="11267" max="11267" width="10.28515625" style="26" customWidth="1"/>
    <col min="11268" max="11268" width="10.140625" style="26" customWidth="1"/>
    <col min="11269" max="11269" width="11.42578125" style="26" customWidth="1"/>
    <col min="11270" max="11270" width="9.7109375" style="26" customWidth="1"/>
    <col min="11271" max="11271" width="19.5703125" style="26" customWidth="1"/>
    <col min="11272" max="11272" width="12.140625" style="26" customWidth="1"/>
    <col min="11273" max="11273" width="11.140625" style="26" customWidth="1"/>
    <col min="11274" max="11274" width="9.140625" style="26" customWidth="1"/>
    <col min="11275" max="11275" width="11.7109375" style="26" customWidth="1"/>
    <col min="11276" max="11276" width="1.7109375" style="26" customWidth="1"/>
    <col min="11277" max="11277" width="10.7109375" style="26"/>
    <col min="11278" max="11278" width="8.42578125" style="26" customWidth="1"/>
    <col min="11279" max="11520" width="10.7109375" style="26"/>
    <col min="11521" max="11521" width="8.140625" style="26" customWidth="1"/>
    <col min="11522" max="11522" width="14" style="26" customWidth="1"/>
    <col min="11523" max="11523" width="10.28515625" style="26" customWidth="1"/>
    <col min="11524" max="11524" width="10.140625" style="26" customWidth="1"/>
    <col min="11525" max="11525" width="11.42578125" style="26" customWidth="1"/>
    <col min="11526" max="11526" width="9.7109375" style="26" customWidth="1"/>
    <col min="11527" max="11527" width="19.5703125" style="26" customWidth="1"/>
    <col min="11528" max="11528" width="12.140625" style="26" customWidth="1"/>
    <col min="11529" max="11529" width="11.140625" style="26" customWidth="1"/>
    <col min="11530" max="11530" width="9.140625" style="26" customWidth="1"/>
    <col min="11531" max="11531" width="11.7109375" style="26" customWidth="1"/>
    <col min="11532" max="11532" width="1.7109375" style="26" customWidth="1"/>
    <col min="11533" max="11533" width="10.7109375" style="26"/>
    <col min="11534" max="11534" width="8.42578125" style="26" customWidth="1"/>
    <col min="11535" max="11776" width="10.7109375" style="26"/>
    <col min="11777" max="11777" width="8.140625" style="26" customWidth="1"/>
    <col min="11778" max="11778" width="14" style="26" customWidth="1"/>
    <col min="11779" max="11779" width="10.28515625" style="26" customWidth="1"/>
    <col min="11780" max="11780" width="10.140625" style="26" customWidth="1"/>
    <col min="11781" max="11781" width="11.42578125" style="26" customWidth="1"/>
    <col min="11782" max="11782" width="9.7109375" style="26" customWidth="1"/>
    <col min="11783" max="11783" width="19.5703125" style="26" customWidth="1"/>
    <col min="11784" max="11784" width="12.140625" style="26" customWidth="1"/>
    <col min="11785" max="11785" width="11.140625" style="26" customWidth="1"/>
    <col min="11786" max="11786" width="9.140625" style="26" customWidth="1"/>
    <col min="11787" max="11787" width="11.7109375" style="26" customWidth="1"/>
    <col min="11788" max="11788" width="1.7109375" style="26" customWidth="1"/>
    <col min="11789" max="11789" width="10.7109375" style="26"/>
    <col min="11790" max="11790" width="8.42578125" style="26" customWidth="1"/>
    <col min="11791" max="12032" width="10.7109375" style="26"/>
    <col min="12033" max="12033" width="8.140625" style="26" customWidth="1"/>
    <col min="12034" max="12034" width="14" style="26" customWidth="1"/>
    <col min="12035" max="12035" width="10.28515625" style="26" customWidth="1"/>
    <col min="12036" max="12036" width="10.140625" style="26" customWidth="1"/>
    <col min="12037" max="12037" width="11.42578125" style="26" customWidth="1"/>
    <col min="12038" max="12038" width="9.7109375" style="26" customWidth="1"/>
    <col min="12039" max="12039" width="19.5703125" style="26" customWidth="1"/>
    <col min="12040" max="12040" width="12.140625" style="26" customWidth="1"/>
    <col min="12041" max="12041" width="11.140625" style="26" customWidth="1"/>
    <col min="12042" max="12042" width="9.140625" style="26" customWidth="1"/>
    <col min="12043" max="12043" width="11.7109375" style="26" customWidth="1"/>
    <col min="12044" max="12044" width="1.7109375" style="26" customWidth="1"/>
    <col min="12045" max="12045" width="10.7109375" style="26"/>
    <col min="12046" max="12046" width="8.42578125" style="26" customWidth="1"/>
    <col min="12047" max="12288" width="10.7109375" style="26"/>
    <col min="12289" max="12289" width="8.140625" style="26" customWidth="1"/>
    <col min="12290" max="12290" width="14" style="26" customWidth="1"/>
    <col min="12291" max="12291" width="10.28515625" style="26" customWidth="1"/>
    <col min="12292" max="12292" width="10.140625" style="26" customWidth="1"/>
    <col min="12293" max="12293" width="11.42578125" style="26" customWidth="1"/>
    <col min="12294" max="12294" width="9.7109375" style="26" customWidth="1"/>
    <col min="12295" max="12295" width="19.5703125" style="26" customWidth="1"/>
    <col min="12296" max="12296" width="12.140625" style="26" customWidth="1"/>
    <col min="12297" max="12297" width="11.140625" style="26" customWidth="1"/>
    <col min="12298" max="12298" width="9.140625" style="26" customWidth="1"/>
    <col min="12299" max="12299" width="11.7109375" style="26" customWidth="1"/>
    <col min="12300" max="12300" width="1.7109375" style="26" customWidth="1"/>
    <col min="12301" max="12301" width="10.7109375" style="26"/>
    <col min="12302" max="12302" width="8.42578125" style="26" customWidth="1"/>
    <col min="12303" max="12544" width="10.7109375" style="26"/>
    <col min="12545" max="12545" width="8.140625" style="26" customWidth="1"/>
    <col min="12546" max="12546" width="14" style="26" customWidth="1"/>
    <col min="12547" max="12547" width="10.28515625" style="26" customWidth="1"/>
    <col min="12548" max="12548" width="10.140625" style="26" customWidth="1"/>
    <col min="12549" max="12549" width="11.42578125" style="26" customWidth="1"/>
    <col min="12550" max="12550" width="9.7109375" style="26" customWidth="1"/>
    <col min="12551" max="12551" width="19.5703125" style="26" customWidth="1"/>
    <col min="12552" max="12552" width="12.140625" style="26" customWidth="1"/>
    <col min="12553" max="12553" width="11.140625" style="26" customWidth="1"/>
    <col min="12554" max="12554" width="9.140625" style="26" customWidth="1"/>
    <col min="12555" max="12555" width="11.7109375" style="26" customWidth="1"/>
    <col min="12556" max="12556" width="1.7109375" style="26" customWidth="1"/>
    <col min="12557" max="12557" width="10.7109375" style="26"/>
    <col min="12558" max="12558" width="8.42578125" style="26" customWidth="1"/>
    <col min="12559" max="12800" width="10.7109375" style="26"/>
    <col min="12801" max="12801" width="8.140625" style="26" customWidth="1"/>
    <col min="12802" max="12802" width="14" style="26" customWidth="1"/>
    <col min="12803" max="12803" width="10.28515625" style="26" customWidth="1"/>
    <col min="12804" max="12804" width="10.140625" style="26" customWidth="1"/>
    <col min="12805" max="12805" width="11.42578125" style="26" customWidth="1"/>
    <col min="12806" max="12806" width="9.7109375" style="26" customWidth="1"/>
    <col min="12807" max="12807" width="19.5703125" style="26" customWidth="1"/>
    <col min="12808" max="12808" width="12.140625" style="26" customWidth="1"/>
    <col min="12809" max="12809" width="11.140625" style="26" customWidth="1"/>
    <col min="12810" max="12810" width="9.140625" style="26" customWidth="1"/>
    <col min="12811" max="12811" width="11.7109375" style="26" customWidth="1"/>
    <col min="12812" max="12812" width="1.7109375" style="26" customWidth="1"/>
    <col min="12813" max="12813" width="10.7109375" style="26"/>
    <col min="12814" max="12814" width="8.42578125" style="26" customWidth="1"/>
    <col min="12815" max="13056" width="10.7109375" style="26"/>
    <col min="13057" max="13057" width="8.140625" style="26" customWidth="1"/>
    <col min="13058" max="13058" width="14" style="26" customWidth="1"/>
    <col min="13059" max="13059" width="10.28515625" style="26" customWidth="1"/>
    <col min="13060" max="13060" width="10.140625" style="26" customWidth="1"/>
    <col min="13061" max="13061" width="11.42578125" style="26" customWidth="1"/>
    <col min="13062" max="13062" width="9.7109375" style="26" customWidth="1"/>
    <col min="13063" max="13063" width="19.5703125" style="26" customWidth="1"/>
    <col min="13064" max="13064" width="12.140625" style="26" customWidth="1"/>
    <col min="13065" max="13065" width="11.140625" style="26" customWidth="1"/>
    <col min="13066" max="13066" width="9.140625" style="26" customWidth="1"/>
    <col min="13067" max="13067" width="11.7109375" style="26" customWidth="1"/>
    <col min="13068" max="13068" width="1.7109375" style="26" customWidth="1"/>
    <col min="13069" max="13069" width="10.7109375" style="26"/>
    <col min="13070" max="13070" width="8.42578125" style="26" customWidth="1"/>
    <col min="13071" max="13312" width="10.7109375" style="26"/>
    <col min="13313" max="13313" width="8.140625" style="26" customWidth="1"/>
    <col min="13314" max="13314" width="14" style="26" customWidth="1"/>
    <col min="13315" max="13315" width="10.28515625" style="26" customWidth="1"/>
    <col min="13316" max="13316" width="10.140625" style="26" customWidth="1"/>
    <col min="13317" max="13317" width="11.42578125" style="26" customWidth="1"/>
    <col min="13318" max="13318" width="9.7109375" style="26" customWidth="1"/>
    <col min="13319" max="13319" width="19.5703125" style="26" customWidth="1"/>
    <col min="13320" max="13320" width="12.140625" style="26" customWidth="1"/>
    <col min="13321" max="13321" width="11.140625" style="26" customWidth="1"/>
    <col min="13322" max="13322" width="9.140625" style="26" customWidth="1"/>
    <col min="13323" max="13323" width="11.7109375" style="26" customWidth="1"/>
    <col min="13324" max="13324" width="1.7109375" style="26" customWidth="1"/>
    <col min="13325" max="13325" width="10.7109375" style="26"/>
    <col min="13326" max="13326" width="8.42578125" style="26" customWidth="1"/>
    <col min="13327" max="13568" width="10.7109375" style="26"/>
    <col min="13569" max="13569" width="8.140625" style="26" customWidth="1"/>
    <col min="13570" max="13570" width="14" style="26" customWidth="1"/>
    <col min="13571" max="13571" width="10.28515625" style="26" customWidth="1"/>
    <col min="13572" max="13572" width="10.140625" style="26" customWidth="1"/>
    <col min="13573" max="13573" width="11.42578125" style="26" customWidth="1"/>
    <col min="13574" max="13574" width="9.7109375" style="26" customWidth="1"/>
    <col min="13575" max="13575" width="19.5703125" style="26" customWidth="1"/>
    <col min="13576" max="13576" width="12.140625" style="26" customWidth="1"/>
    <col min="13577" max="13577" width="11.140625" style="26" customWidth="1"/>
    <col min="13578" max="13578" width="9.140625" style="26" customWidth="1"/>
    <col min="13579" max="13579" width="11.7109375" style="26" customWidth="1"/>
    <col min="13580" max="13580" width="1.7109375" style="26" customWidth="1"/>
    <col min="13581" max="13581" width="10.7109375" style="26"/>
    <col min="13582" max="13582" width="8.42578125" style="26" customWidth="1"/>
    <col min="13583" max="13824" width="10.7109375" style="26"/>
    <col min="13825" max="13825" width="8.140625" style="26" customWidth="1"/>
    <col min="13826" max="13826" width="14" style="26" customWidth="1"/>
    <col min="13827" max="13827" width="10.28515625" style="26" customWidth="1"/>
    <col min="13828" max="13828" width="10.140625" style="26" customWidth="1"/>
    <col min="13829" max="13829" width="11.42578125" style="26" customWidth="1"/>
    <col min="13830" max="13830" width="9.7109375" style="26" customWidth="1"/>
    <col min="13831" max="13831" width="19.5703125" style="26" customWidth="1"/>
    <col min="13832" max="13832" width="12.140625" style="26" customWidth="1"/>
    <col min="13833" max="13833" width="11.140625" style="26" customWidth="1"/>
    <col min="13834" max="13834" width="9.140625" style="26" customWidth="1"/>
    <col min="13835" max="13835" width="11.7109375" style="26" customWidth="1"/>
    <col min="13836" max="13836" width="1.7109375" style="26" customWidth="1"/>
    <col min="13837" max="13837" width="10.7109375" style="26"/>
    <col min="13838" max="13838" width="8.42578125" style="26" customWidth="1"/>
    <col min="13839" max="14080" width="10.7109375" style="26"/>
    <col min="14081" max="14081" width="8.140625" style="26" customWidth="1"/>
    <col min="14082" max="14082" width="14" style="26" customWidth="1"/>
    <col min="14083" max="14083" width="10.28515625" style="26" customWidth="1"/>
    <col min="14084" max="14084" width="10.140625" style="26" customWidth="1"/>
    <col min="14085" max="14085" width="11.42578125" style="26" customWidth="1"/>
    <col min="14086" max="14086" width="9.7109375" style="26" customWidth="1"/>
    <col min="14087" max="14087" width="19.5703125" style="26" customWidth="1"/>
    <col min="14088" max="14088" width="12.140625" style="26" customWidth="1"/>
    <col min="14089" max="14089" width="11.140625" style="26" customWidth="1"/>
    <col min="14090" max="14090" width="9.140625" style="26" customWidth="1"/>
    <col min="14091" max="14091" width="11.7109375" style="26" customWidth="1"/>
    <col min="14092" max="14092" width="1.7109375" style="26" customWidth="1"/>
    <col min="14093" max="14093" width="10.7109375" style="26"/>
    <col min="14094" max="14094" width="8.42578125" style="26" customWidth="1"/>
    <col min="14095" max="14336" width="10.7109375" style="26"/>
    <col min="14337" max="14337" width="8.140625" style="26" customWidth="1"/>
    <col min="14338" max="14338" width="14" style="26" customWidth="1"/>
    <col min="14339" max="14339" width="10.28515625" style="26" customWidth="1"/>
    <col min="14340" max="14340" width="10.140625" style="26" customWidth="1"/>
    <col min="14341" max="14341" width="11.42578125" style="26" customWidth="1"/>
    <col min="14342" max="14342" width="9.7109375" style="26" customWidth="1"/>
    <col min="14343" max="14343" width="19.5703125" style="26" customWidth="1"/>
    <col min="14344" max="14344" width="12.140625" style="26" customWidth="1"/>
    <col min="14345" max="14345" width="11.140625" style="26" customWidth="1"/>
    <col min="14346" max="14346" width="9.140625" style="26" customWidth="1"/>
    <col min="14347" max="14347" width="11.7109375" style="26" customWidth="1"/>
    <col min="14348" max="14348" width="1.7109375" style="26" customWidth="1"/>
    <col min="14349" max="14349" width="10.7109375" style="26"/>
    <col min="14350" max="14350" width="8.42578125" style="26" customWidth="1"/>
    <col min="14351" max="14592" width="10.7109375" style="26"/>
    <col min="14593" max="14593" width="8.140625" style="26" customWidth="1"/>
    <col min="14594" max="14594" width="14" style="26" customWidth="1"/>
    <col min="14595" max="14595" width="10.28515625" style="26" customWidth="1"/>
    <col min="14596" max="14596" width="10.140625" style="26" customWidth="1"/>
    <col min="14597" max="14597" width="11.42578125" style="26" customWidth="1"/>
    <col min="14598" max="14598" width="9.7109375" style="26" customWidth="1"/>
    <col min="14599" max="14599" width="19.5703125" style="26" customWidth="1"/>
    <col min="14600" max="14600" width="12.140625" style="26" customWidth="1"/>
    <col min="14601" max="14601" width="11.140625" style="26" customWidth="1"/>
    <col min="14602" max="14602" width="9.140625" style="26" customWidth="1"/>
    <col min="14603" max="14603" width="11.7109375" style="26" customWidth="1"/>
    <col min="14604" max="14604" width="1.7109375" style="26" customWidth="1"/>
    <col min="14605" max="14605" width="10.7109375" style="26"/>
    <col min="14606" max="14606" width="8.42578125" style="26" customWidth="1"/>
    <col min="14607" max="14848" width="10.7109375" style="26"/>
    <col min="14849" max="14849" width="8.140625" style="26" customWidth="1"/>
    <col min="14850" max="14850" width="14" style="26" customWidth="1"/>
    <col min="14851" max="14851" width="10.28515625" style="26" customWidth="1"/>
    <col min="14852" max="14852" width="10.140625" style="26" customWidth="1"/>
    <col min="14853" max="14853" width="11.42578125" style="26" customWidth="1"/>
    <col min="14854" max="14854" width="9.7109375" style="26" customWidth="1"/>
    <col min="14855" max="14855" width="19.5703125" style="26" customWidth="1"/>
    <col min="14856" max="14856" width="12.140625" style="26" customWidth="1"/>
    <col min="14857" max="14857" width="11.140625" style="26" customWidth="1"/>
    <col min="14858" max="14858" width="9.140625" style="26" customWidth="1"/>
    <col min="14859" max="14859" width="11.7109375" style="26" customWidth="1"/>
    <col min="14860" max="14860" width="1.7109375" style="26" customWidth="1"/>
    <col min="14861" max="14861" width="10.7109375" style="26"/>
    <col min="14862" max="14862" width="8.42578125" style="26" customWidth="1"/>
    <col min="14863" max="15104" width="10.7109375" style="26"/>
    <col min="15105" max="15105" width="8.140625" style="26" customWidth="1"/>
    <col min="15106" max="15106" width="14" style="26" customWidth="1"/>
    <col min="15107" max="15107" width="10.28515625" style="26" customWidth="1"/>
    <col min="15108" max="15108" width="10.140625" style="26" customWidth="1"/>
    <col min="15109" max="15109" width="11.42578125" style="26" customWidth="1"/>
    <col min="15110" max="15110" width="9.7109375" style="26" customWidth="1"/>
    <col min="15111" max="15111" width="19.5703125" style="26" customWidth="1"/>
    <col min="15112" max="15112" width="12.140625" style="26" customWidth="1"/>
    <col min="15113" max="15113" width="11.140625" style="26" customWidth="1"/>
    <col min="15114" max="15114" width="9.140625" style="26" customWidth="1"/>
    <col min="15115" max="15115" width="11.7109375" style="26" customWidth="1"/>
    <col min="15116" max="15116" width="1.7109375" style="26" customWidth="1"/>
    <col min="15117" max="15117" width="10.7109375" style="26"/>
    <col min="15118" max="15118" width="8.42578125" style="26" customWidth="1"/>
    <col min="15119" max="15360" width="10.7109375" style="26"/>
    <col min="15361" max="15361" width="8.140625" style="26" customWidth="1"/>
    <col min="15362" max="15362" width="14" style="26" customWidth="1"/>
    <col min="15363" max="15363" width="10.28515625" style="26" customWidth="1"/>
    <col min="15364" max="15364" width="10.140625" style="26" customWidth="1"/>
    <col min="15365" max="15365" width="11.42578125" style="26" customWidth="1"/>
    <col min="15366" max="15366" width="9.7109375" style="26" customWidth="1"/>
    <col min="15367" max="15367" width="19.5703125" style="26" customWidth="1"/>
    <col min="15368" max="15368" width="12.140625" style="26" customWidth="1"/>
    <col min="15369" max="15369" width="11.140625" style="26" customWidth="1"/>
    <col min="15370" max="15370" width="9.140625" style="26" customWidth="1"/>
    <col min="15371" max="15371" width="11.7109375" style="26" customWidth="1"/>
    <col min="15372" max="15372" width="1.7109375" style="26" customWidth="1"/>
    <col min="15373" max="15373" width="10.7109375" style="26"/>
    <col min="15374" max="15374" width="8.42578125" style="26" customWidth="1"/>
    <col min="15375" max="15616" width="10.7109375" style="26"/>
    <col min="15617" max="15617" width="8.140625" style="26" customWidth="1"/>
    <col min="15618" max="15618" width="14" style="26" customWidth="1"/>
    <col min="15619" max="15619" width="10.28515625" style="26" customWidth="1"/>
    <col min="15620" max="15620" width="10.140625" style="26" customWidth="1"/>
    <col min="15621" max="15621" width="11.42578125" style="26" customWidth="1"/>
    <col min="15622" max="15622" width="9.7109375" style="26" customWidth="1"/>
    <col min="15623" max="15623" width="19.5703125" style="26" customWidth="1"/>
    <col min="15624" max="15624" width="12.140625" style="26" customWidth="1"/>
    <col min="15625" max="15625" width="11.140625" style="26" customWidth="1"/>
    <col min="15626" max="15626" width="9.140625" style="26" customWidth="1"/>
    <col min="15627" max="15627" width="11.7109375" style="26" customWidth="1"/>
    <col min="15628" max="15628" width="1.7109375" style="26" customWidth="1"/>
    <col min="15629" max="15629" width="10.7109375" style="26"/>
    <col min="15630" max="15630" width="8.42578125" style="26" customWidth="1"/>
    <col min="15631" max="15872" width="10.7109375" style="26"/>
    <col min="15873" max="15873" width="8.140625" style="26" customWidth="1"/>
    <col min="15874" max="15874" width="14" style="26" customWidth="1"/>
    <col min="15875" max="15875" width="10.28515625" style="26" customWidth="1"/>
    <col min="15876" max="15876" width="10.140625" style="26" customWidth="1"/>
    <col min="15877" max="15877" width="11.42578125" style="26" customWidth="1"/>
    <col min="15878" max="15878" width="9.7109375" style="26" customWidth="1"/>
    <col min="15879" max="15879" width="19.5703125" style="26" customWidth="1"/>
    <col min="15880" max="15880" width="12.140625" style="26" customWidth="1"/>
    <col min="15881" max="15881" width="11.140625" style="26" customWidth="1"/>
    <col min="15882" max="15882" width="9.140625" style="26" customWidth="1"/>
    <col min="15883" max="15883" width="11.7109375" style="26" customWidth="1"/>
    <col min="15884" max="15884" width="1.7109375" style="26" customWidth="1"/>
    <col min="15885" max="15885" width="10.7109375" style="26"/>
    <col min="15886" max="15886" width="8.42578125" style="26" customWidth="1"/>
    <col min="15887" max="16128" width="10.7109375" style="26"/>
    <col min="16129" max="16129" width="8.140625" style="26" customWidth="1"/>
    <col min="16130" max="16130" width="14" style="26" customWidth="1"/>
    <col min="16131" max="16131" width="10.28515625" style="26" customWidth="1"/>
    <col min="16132" max="16132" width="10.140625" style="26" customWidth="1"/>
    <col min="16133" max="16133" width="11.42578125" style="26" customWidth="1"/>
    <col min="16134" max="16134" width="9.7109375" style="26" customWidth="1"/>
    <col min="16135" max="16135" width="19.5703125" style="26" customWidth="1"/>
    <col min="16136" max="16136" width="12.140625" style="26" customWidth="1"/>
    <col min="16137" max="16137" width="11.140625" style="26" customWidth="1"/>
    <col min="16138" max="16138" width="9.140625" style="26" customWidth="1"/>
    <col min="16139" max="16139" width="11.7109375" style="26" customWidth="1"/>
    <col min="16140" max="16140" width="1.7109375" style="26" customWidth="1"/>
    <col min="16141" max="16141" width="10.7109375" style="26"/>
    <col min="16142" max="16142" width="8.42578125" style="26" customWidth="1"/>
    <col min="16143" max="16384" width="10.7109375" style="26"/>
  </cols>
  <sheetData>
    <row r="2" spans="1:16" ht="15" x14ac:dyDescent="0.25">
      <c r="A2" s="21"/>
      <c r="B2" s="182" t="s">
        <v>0</v>
      </c>
      <c r="C2" s="22"/>
      <c r="D2" s="183">
        <v>2024</v>
      </c>
      <c r="E2" s="22"/>
      <c r="F2" s="182" t="s">
        <v>15</v>
      </c>
      <c r="G2" s="182"/>
      <c r="H2" s="182"/>
      <c r="I2" s="182"/>
      <c r="J2" s="22"/>
      <c r="K2" s="23"/>
      <c r="L2" s="24"/>
      <c r="M2" s="24"/>
      <c r="N2" s="24"/>
      <c r="O2" s="44"/>
      <c r="P2" s="44"/>
    </row>
    <row r="3" spans="1:16" ht="15" x14ac:dyDescent="0.25">
      <c r="A3" s="27"/>
      <c r="B3" s="182"/>
      <c r="C3" s="28"/>
      <c r="D3" s="183"/>
      <c r="E3" s="28"/>
      <c r="F3" s="182"/>
      <c r="G3" s="182"/>
      <c r="H3" s="182"/>
      <c r="I3" s="182"/>
      <c r="J3" s="28"/>
      <c r="K3" s="29"/>
      <c r="L3" s="24"/>
      <c r="M3" s="24"/>
      <c r="N3" s="24"/>
      <c r="O3" s="44"/>
      <c r="P3" s="44"/>
    </row>
    <row r="4" spans="1:16" ht="15" x14ac:dyDescent="0.25">
      <c r="A4" s="186" t="s">
        <v>58</v>
      </c>
      <c r="B4" s="187"/>
      <c r="C4" s="187"/>
      <c r="D4" s="30"/>
      <c r="E4" s="30"/>
      <c r="F4" s="30"/>
      <c r="G4" s="31"/>
      <c r="H4" s="31"/>
      <c r="I4" s="31"/>
      <c r="J4" s="31"/>
      <c r="K4" s="32"/>
    </row>
    <row r="5" spans="1:16" ht="15" x14ac:dyDescent="0.25">
      <c r="A5" s="174" t="s">
        <v>59</v>
      </c>
      <c r="B5" s="146"/>
      <c r="C5" s="146"/>
      <c r="E5" s="33"/>
      <c r="G5" s="34"/>
      <c r="H5" s="34"/>
      <c r="K5" s="35"/>
      <c r="O5" s="33"/>
      <c r="P5" s="33"/>
    </row>
    <row r="6" spans="1:16" ht="15" x14ac:dyDescent="0.25">
      <c r="A6" s="174" t="s">
        <v>60</v>
      </c>
      <c r="B6" s="146"/>
      <c r="C6" s="146"/>
      <c r="E6" s="33"/>
      <c r="F6" s="33"/>
      <c r="G6" s="34"/>
      <c r="H6" s="34"/>
      <c r="K6" s="36"/>
    </row>
    <row r="7" spans="1:16" ht="15" x14ac:dyDescent="0.25">
      <c r="A7" s="166">
        <v>20152206748</v>
      </c>
      <c r="B7" s="167"/>
      <c r="C7" s="167"/>
      <c r="E7" s="33"/>
      <c r="F7" s="33"/>
      <c r="K7" s="36"/>
    </row>
    <row r="8" spans="1:16" ht="15" x14ac:dyDescent="0.25">
      <c r="A8" s="27"/>
      <c r="F8" s="37"/>
      <c r="I8" s="74"/>
      <c r="K8" s="36"/>
      <c r="M8" s="184" t="s">
        <v>22</v>
      </c>
      <c r="N8" s="184"/>
      <c r="O8" s="184"/>
      <c r="P8" s="184"/>
    </row>
    <row r="9" spans="1:16" ht="15" x14ac:dyDescent="0.25">
      <c r="A9" s="73" t="s">
        <v>41</v>
      </c>
      <c r="B9" s="129" t="s">
        <v>5</v>
      </c>
      <c r="C9" s="105" t="s">
        <v>6</v>
      </c>
      <c r="D9" s="105" t="s">
        <v>7</v>
      </c>
      <c r="E9" s="130" t="s">
        <v>8</v>
      </c>
      <c r="F9" s="131"/>
      <c r="G9" s="105"/>
      <c r="H9" s="108" t="s">
        <v>84</v>
      </c>
      <c r="I9" s="132" t="s">
        <v>9</v>
      </c>
      <c r="J9" s="105" t="s">
        <v>42</v>
      </c>
      <c r="K9" s="105" t="s">
        <v>11</v>
      </c>
      <c r="L9" s="38"/>
      <c r="M9" s="185" t="s">
        <v>9</v>
      </c>
      <c r="N9" s="185"/>
      <c r="O9" s="198" t="s">
        <v>42</v>
      </c>
      <c r="P9" s="75" t="s">
        <v>102</v>
      </c>
    </row>
    <row r="10" spans="1:16" ht="15" x14ac:dyDescent="0.25">
      <c r="A10" s="39" t="s">
        <v>43</v>
      </c>
      <c r="B10" s="89">
        <f>'Miodrag MILIC'!F10+'BERTHE Alexandra'!F10+'SANDRI Sandro'!F10+'JAUD Jean Paul'!F10+'REBELO MATOS Daniel Filipe'!F10+'BALDE Binta'!F10+'Omigie Evbaguehize Stella'!F10+'BEZGUBOV Tatiana'!F10+'RIFFAUD Jean François '!F10+'BROERING Lucas José '!F10</f>
        <v>35412.794999999998</v>
      </c>
      <c r="C10" s="89">
        <f>'Miodrag MILIC'!G10+'BERTHE Alexandra'!G10+'SANDRI Sandro'!G10+'JAUD Jean Paul'!G10+'REBELO MATOS Daniel Filipe'!G10+'BALDE Binta'!G10+'Omigie Evbaguehize Stella'!G10+'BEZGUBOV Tatiana'!G10+'RIFFAUD Jean François '!G10+'BROERING Lucas José '!G10</f>
        <v>35412.794999999998</v>
      </c>
      <c r="D10" s="89">
        <f>'Miodrag MILIC'!H10+'BERTHE Alexandra'!H10+'SANDRI Sandro'!H10+'JAUD Jean Paul'!H10+'REBELO MATOS Daniel Filipe'!H10+'BALDE Binta'!H10+'Omigie Evbaguehize Stella'!H10+'BEZGUBOV Tatiana'!H10+'RIFFAUD Jean François '!H10+'BROERING Lucas José '!H10</f>
        <v>1080.1100000000001</v>
      </c>
      <c r="E10" s="89">
        <f>'Miodrag MILIC'!I10+'BERTHE Alexandra'!I10+'SANDRI Sandro'!I10+'JAUD Jean Paul'!I10+'REBELO MATOS Daniel Filipe'!I10+'BALDE Binta'!I10+'Omigie Evbaguehize Stella'!I10+'BEZGUBOV Tatiana'!I10+'RIFFAUD Jean François '!I10+'BROERING Lucas José '!I10</f>
        <v>2833.01</v>
      </c>
      <c r="F10" s="89"/>
      <c r="G10" s="89"/>
      <c r="H10" s="89">
        <f>'Miodrag MILIC'!K10+'BERTHE Alexandra'!K10+'SANDRI Sandro'!K10+'JAUD Jean Paul'!K10+'REBELO MATOS Daniel Filipe'!K10+'BALDE Binta'!K10+'Omigie Evbaguehize Stella'!K10+'BEZGUBOV Tatiana'!K10+'RIFFAUD Jean François '!K10+'BROERING Lucas José '!K10</f>
        <v>1142.75</v>
      </c>
      <c r="I10" s="89">
        <f>'Miodrag MILIC'!L10+'BERTHE Alexandra'!L10+'SANDRI Sandro'!L10+'JAUD Jean Paul'!L10+'REBELO MATOS Daniel Filipe'!L10+'BALDE Binta'!L10+'Omigie Evbaguehize Stella'!L10+'BEZGUBOV Tatiana'!L10+'RIFFAUD Jean François '!L10+'BROERING Lucas José '!L10</f>
        <v>30356.920000000002</v>
      </c>
      <c r="J10" s="89">
        <f>'Miodrag MILIC'!M10+'BERTHE Alexandra'!M10+'SANDRI Sandro'!M10+'JAUD Jean Paul'!M10+'REBELO MATOS Daniel Filipe'!M10+'BALDE Binta'!M10+'Omigie Evbaguehize Stella'!M10+'BEZGUBOV Tatiana'!M10+'RIFFAUD Jean François '!M10+'BROERING Lucas José '!M10</f>
        <v>5431.14</v>
      </c>
      <c r="K10" s="89">
        <f>'Miodrag MILIC'!P10+'BERTHE Alexandra'!P10+'SANDRI Sandro'!P10+'JAUD Jean Paul'!P10+'REBELO MATOS Daniel Filipe'!P10+'BALDE Binta'!P10+'Omigie Evbaguehize Stella'!P10+'BEZGUBOV Tatiana'!P10+'RIFFAUD Jean François '!P10+'BROERING Lucas José '!P10</f>
        <v>25823.97</v>
      </c>
      <c r="L10" s="199"/>
      <c r="M10" s="200">
        <f>I10</f>
        <v>30356.920000000002</v>
      </c>
      <c r="N10" s="200"/>
      <c r="O10" s="89">
        <f>J10</f>
        <v>5431.14</v>
      </c>
      <c r="P10" s="89">
        <f>'Miodrag MILIC'!J10+'Miodrag MILIC'!N10+'Miodrag MILIC'!O10+'BERTHE Alexandra'!J10+'BERTHE Alexandra'!N10+'BERTHE Alexandra'!O10+'REBELO MATOS Daniel Filipe'!J10+'REBELO MATOS Daniel Filipe'!N10+'REBELO MATOS Daniel Filipe'!O10+'BALDE Binta'!J10+'BALDE Binta'!N10+'BALDE Binta'!O10+'Omigie Evbaguehize Stella'!J10+'Omigie Evbaguehize Stella'!N10+'BEZGUBOV Tatiana'!J10+'BEZGUBOV Tatiana'!N10+'BEZGUBOV Tatiana'!O10+'RIFFAUD Jean François '!J10+'RIFFAUD Jean François '!N10+'RIFFAUD Jean François '!O10+'BROERING Lucas José '!J10+'BROERING Lucas José '!N10</f>
        <v>402</v>
      </c>
    </row>
    <row r="11" spans="1:16" ht="15" x14ac:dyDescent="0.25">
      <c r="A11" s="40" t="s">
        <v>44</v>
      </c>
      <c r="B11" s="90">
        <f>'Miodrag MILIC'!F11+'BERTHE Alexandra'!F11+'SANDRI Sandro'!F11+'JAUD Jean Paul'!F11+'REBELO MATOS Daniel Filipe'!F11+'BALDE Binta'!F11+'Omigie Evbaguehize Stella'!F11+'BEZGUBOV Tatiana'!F11+'RIFFAUD Jean François '!F11+'BROERING Lucas José '!F11</f>
        <v>38967.205000000002</v>
      </c>
      <c r="C11" s="90">
        <f>'Miodrag MILIC'!G11+'BERTHE Alexandra'!G11+'SANDRI Sandro'!G11+'JAUD Jean Paul'!G11+'REBELO MATOS Daniel Filipe'!G11+'BALDE Binta'!G11+'Omigie Evbaguehize Stella'!G11+'BEZGUBOV Tatiana'!G11+'RIFFAUD Jean François '!G11+'BROERING Lucas José '!G11</f>
        <v>38967.205000000002</v>
      </c>
      <c r="D11" s="90">
        <f>'Miodrag MILIC'!H11+'BERTHE Alexandra'!H11+'SANDRI Sandro'!H11+'JAUD Jean Paul'!H11+'REBELO MATOS Daniel Filipe'!H11+'BALDE Binta'!H11+'Omigie Evbaguehize Stella'!H11+'BEZGUBOV Tatiana'!H11+'RIFFAUD Jean François '!H11+'BROERING Lucas José '!H11</f>
        <v>1188.5099999999998</v>
      </c>
      <c r="E11" s="90">
        <f>'Miodrag MILIC'!I11+'BERTHE Alexandra'!I11+'SANDRI Sandro'!I11+'JAUD Jean Paul'!I11+'REBELO MATOS Daniel Filipe'!I11+'BALDE Binta'!I11+'Omigie Evbaguehize Stella'!I11+'BEZGUBOV Tatiana'!I11+'RIFFAUD Jean François '!I11+'BROERING Lucas José '!I11</f>
        <v>3117.36</v>
      </c>
      <c r="F11" s="90"/>
      <c r="G11" s="90"/>
      <c r="H11" s="90">
        <f>'Miodrag MILIC'!K11+'BERTHE Alexandra'!K11+'SANDRI Sandro'!K11+'JAUD Jean Paul'!K11+'REBELO MATOS Daniel Filipe'!K11+'BALDE Binta'!K11+'Omigie Evbaguehize Stella'!K11+'BEZGUBOV Tatiana'!K11+'RIFFAUD Jean François '!K11+'BROERING Lucas José '!K11</f>
        <v>1511.47</v>
      </c>
      <c r="I11" s="90">
        <f>'Miodrag MILIC'!L11+'BERTHE Alexandra'!L11+'SANDRI Sandro'!L11+'JAUD Jean Paul'!L11+'REBELO MATOS Daniel Filipe'!L11+'BALDE Binta'!L11+'Omigie Evbaguehize Stella'!L11+'BEZGUBOV Tatiana'!L11+'RIFFAUD Jean François '!L11+'BROERING Lucas José '!L11</f>
        <v>33149.859999999993</v>
      </c>
      <c r="J11" s="90">
        <f>'Miodrag MILIC'!M11+'BERTHE Alexandra'!M11+'SANDRI Sandro'!M11+'JAUD Jean Paul'!M11+'REBELO MATOS Daniel Filipe'!M11+'BALDE Binta'!M11+'Omigie Evbaguehize Stella'!M11+'BEZGUBOV Tatiana'!M11+'RIFFAUD Jean François '!M11+'BROERING Lucas José '!M11</f>
        <v>4455.82</v>
      </c>
      <c r="K11" s="90">
        <f>'Miodrag MILIC'!P11+'BERTHE Alexandra'!P11+'SANDRI Sandro'!P11+'JAUD Jean Paul'!P11+'REBELO MATOS Daniel Filipe'!P11+'BALDE Binta'!P11+'Omigie Evbaguehize Stella'!P11+'BEZGUBOV Tatiana'!P11+'RIFFAUD Jean François '!P11+'BROERING Lucas José '!P11</f>
        <v>35213.11</v>
      </c>
      <c r="L11" s="201"/>
      <c r="M11" s="202">
        <f t="shared" ref="M11:M17" si="0">I11</f>
        <v>33149.859999999993</v>
      </c>
      <c r="N11" s="202"/>
      <c r="O11" s="90">
        <f t="shared" ref="O11:O17" si="1">J11</f>
        <v>4455.82</v>
      </c>
      <c r="P11" s="90">
        <f>'Miodrag MILIC'!J11+'Miodrag MILIC'!N11+'Miodrag MILIC'!O11+'BERTHE Alexandra'!J11+'BERTHE Alexandra'!N11+'BERTHE Alexandra'!O11+'REBELO MATOS Daniel Filipe'!J11+'REBELO MATOS Daniel Filipe'!N11+'REBELO MATOS Daniel Filipe'!O11+'BALDE Binta'!J11+'BALDE Binta'!N11+'BALDE Binta'!O11+'Omigie Evbaguehize Stella'!J11+'Omigie Evbaguehize Stella'!N11+'BEZGUBOV Tatiana'!J11+'BEZGUBOV Tatiana'!N11+'BEZGUBOV Tatiana'!O11+'RIFFAUD Jean François '!J11+'RIFFAUD Jean François '!N11+'RIFFAUD Jean François '!O11+'BROERING Lucas José '!J11+'BROERING Lucas José '!N11</f>
        <v>626.74</v>
      </c>
    </row>
    <row r="12" spans="1:16" ht="15" x14ac:dyDescent="0.25">
      <c r="A12" s="40" t="s">
        <v>45</v>
      </c>
      <c r="B12" s="90">
        <f>'Miodrag MILIC'!F12+'BERTHE Alexandra'!F12+'SANDRI Sandro'!F12+'JAUD Jean Paul'!F12+'REBELO MATOS Daniel Filipe'!F12+'BALDE Binta'!F12+'Omigie Evbaguehize Stella'!F12+'BEZGUBOV Tatiana'!F12+'RIFFAUD Jean François '!F12+'BROERING Lucas José '!F12</f>
        <v>46283.014999999999</v>
      </c>
      <c r="C12" s="90">
        <f>'Miodrag MILIC'!G12+'BERTHE Alexandra'!G12+'SANDRI Sandro'!G12+'JAUD Jean Paul'!G12+'REBELO MATOS Daniel Filipe'!G12+'BALDE Binta'!G12+'Omigie Evbaguehize Stella'!G12+'BEZGUBOV Tatiana'!G12+'RIFFAUD Jean François '!G12+'BROERING Lucas José '!G12</f>
        <v>46283.014999999999</v>
      </c>
      <c r="D12" s="90">
        <f>'Miodrag MILIC'!H12+'BERTHE Alexandra'!H12+'SANDRI Sandro'!H12+'JAUD Jean Paul'!H12+'REBELO MATOS Daniel Filipe'!H12+'BALDE Binta'!H12+'Omigie Evbaguehize Stella'!H12+'BEZGUBOV Tatiana'!H12+'RIFFAUD Jean François '!H12+'BROERING Lucas José '!H12</f>
        <v>1411.6399999999999</v>
      </c>
      <c r="E12" s="90">
        <f>'Miodrag MILIC'!I12+'BERTHE Alexandra'!I12+'SANDRI Sandro'!I12+'JAUD Jean Paul'!I12+'REBELO MATOS Daniel Filipe'!I12+'BALDE Binta'!I12+'Omigie Evbaguehize Stella'!I12+'BEZGUBOV Tatiana'!I12+'RIFFAUD Jean François '!I12+'BROERING Lucas José '!I12</f>
        <v>3702.63</v>
      </c>
      <c r="F12" s="90"/>
      <c r="G12" s="90"/>
      <c r="H12" s="90">
        <f>'Miodrag MILIC'!K12+'BERTHE Alexandra'!K12+'SANDRI Sandro'!K12+'JAUD Jean Paul'!K12+'REBELO MATOS Daniel Filipe'!K12+'BALDE Binta'!K12+'Omigie Evbaguehize Stella'!K12+'BEZGUBOV Tatiana'!K12+'RIFFAUD Jean François '!K12+'BROERING Lucas José '!K12</f>
        <v>1833.75</v>
      </c>
      <c r="I12" s="90">
        <f>'Miodrag MILIC'!L12+'BERTHE Alexandra'!L12+'SANDRI Sandro'!L12+'JAUD Jean Paul'!L12+'REBELO MATOS Daniel Filipe'!L12+'BALDE Binta'!L12+'Omigie Evbaguehize Stella'!L12+'BEZGUBOV Tatiana'!L12+'RIFFAUD Jean François '!L12+'BROERING Lucas José '!L12</f>
        <v>39794.990000000005</v>
      </c>
      <c r="J12" s="90">
        <f>'Miodrag MILIC'!M12+'BERTHE Alexandra'!M12+'SANDRI Sandro'!M12+'JAUD Jean Paul'!M12+'REBELO MATOS Daniel Filipe'!M12+'BALDE Binta'!M12+'Omigie Evbaguehize Stella'!M12+'BEZGUBOV Tatiana'!M12+'RIFFAUD Jean François '!M12+'BROERING Lucas José '!M12</f>
        <v>6073.3600000000015</v>
      </c>
      <c r="K12" s="90">
        <f>'Miodrag MILIC'!P12+'BERTHE Alexandra'!P12+'SANDRI Sandro'!P12+'JAUD Jean Paul'!P12+'REBELO MATOS Daniel Filipe'!P12+'BALDE Binta'!P12+'Omigie Evbaguehize Stella'!P12+'BEZGUBOV Tatiana'!P12+'RIFFAUD Jean François '!P12+'BROERING Lucas José '!P12</f>
        <v>29706.529999999995</v>
      </c>
      <c r="L12" s="201"/>
      <c r="M12" s="202">
        <f>I12</f>
        <v>39794.990000000005</v>
      </c>
      <c r="N12" s="202"/>
      <c r="O12" s="90">
        <f t="shared" si="1"/>
        <v>6073.3600000000015</v>
      </c>
      <c r="P12" s="90">
        <f>'Miodrag MILIC'!J12+'Miodrag MILIC'!N12+'Miodrag MILIC'!O12+'BERTHE Alexandra'!J12+'BERTHE Alexandra'!N12+'BERTHE Alexandra'!O12+'REBELO MATOS Daniel Filipe'!J12+'REBELO MATOS Daniel Filipe'!N12+'REBELO MATOS Daniel Filipe'!O12+'BALDE Binta'!J12+'BALDE Binta'!N12+'BALDE Binta'!O12+'Omigie Evbaguehize Stella'!J12+'Omigie Evbaguehize Stella'!N12+'BEZGUBOV Tatiana'!J12+'BEZGUBOV Tatiana'!N12+'BEZGUBOV Tatiana'!O12+'RIFFAUD Jean François '!J12+'RIFFAUD Jean François '!N12+'RIFFAUD Jean François '!O12+'BROERING Lucas José '!J12+'BROERING Lucas José '!N12</f>
        <v>650.1400000000001</v>
      </c>
    </row>
    <row r="13" spans="1:16" ht="15" x14ac:dyDescent="0.25">
      <c r="A13" s="40" t="s">
        <v>46</v>
      </c>
      <c r="B13" s="90">
        <f>'Miodrag MILIC'!F13+'BERTHE Alexandra'!F13+'SANDRI Sandro'!F13+'JAUD Jean Paul'!F13+'REBELO MATOS Daniel Filipe'!F13+'BALDE Binta'!F13+'Omigie Evbaguehize Stella'!F13+'BEZGUBOV Tatiana'!F13+'RIFFAUD Jean François '!F13+'BROERING Lucas José '!F13</f>
        <v>31434.755000000001</v>
      </c>
      <c r="C13" s="90">
        <f>'Miodrag MILIC'!G13+'BERTHE Alexandra'!G13+'SANDRI Sandro'!G13+'JAUD Jean Paul'!G13+'REBELO MATOS Daniel Filipe'!G13+'BALDE Binta'!G13+'Omigie Evbaguehize Stella'!G13+'BEZGUBOV Tatiana'!G13+'RIFFAUD Jean François '!G13+'BROERING Lucas José '!G13</f>
        <v>31434.755000000001</v>
      </c>
      <c r="D13" s="90">
        <f>'Miodrag MILIC'!H13+'BERTHE Alexandra'!H13+'SANDRI Sandro'!H13+'JAUD Jean Paul'!H13+'REBELO MATOS Daniel Filipe'!H13+'BALDE Binta'!H13+'Omigie Evbaguehize Stella'!H13+'BEZGUBOV Tatiana'!H13+'RIFFAUD Jean François '!H13+'BROERING Lucas José '!H13</f>
        <v>958.77</v>
      </c>
      <c r="E13" s="90">
        <f>'Miodrag MILIC'!I13+'BERTHE Alexandra'!I13+'SANDRI Sandro'!I13+'JAUD Jean Paul'!I13+'REBELO MATOS Daniel Filipe'!I13+'BALDE Binta'!I13+'Omigie Evbaguehize Stella'!I13+'BEZGUBOV Tatiana'!I13+'RIFFAUD Jean François '!I13+'BROERING Lucas José '!I13</f>
        <v>2514.77</v>
      </c>
      <c r="F13" s="90"/>
      <c r="G13" s="90"/>
      <c r="H13" s="90">
        <f>'Miodrag MILIC'!K13+'BERTHE Alexandra'!K13+'SANDRI Sandro'!K13+'JAUD Jean Paul'!K13+'REBELO MATOS Daniel Filipe'!K13+'BALDE Binta'!K13+'Omigie Evbaguehize Stella'!K13+'BEZGUBOV Tatiana'!K13+'RIFFAUD Jean François '!K13+'BROERING Lucas José '!K13</f>
        <v>2048.25</v>
      </c>
      <c r="I13" s="90">
        <f>'Miodrag MILIC'!L13+'BERTHE Alexandra'!L13+'SANDRI Sandro'!L13+'JAUD Jean Paul'!L13+'REBELO MATOS Daniel Filipe'!L13+'BALDE Binta'!L13+'Omigie Evbaguehize Stella'!L13+'BEZGUBOV Tatiana'!L13+'RIFFAUD Jean François '!L13+'BROERING Lucas José '!L13</f>
        <v>26372.97</v>
      </c>
      <c r="J13" s="90">
        <f>'Miodrag MILIC'!M13+'BERTHE Alexandra'!M13+'SANDRI Sandro'!M13+'JAUD Jean Paul'!M13+'REBELO MATOS Daniel Filipe'!M13+'BALDE Binta'!M13+'Omigie Evbaguehize Stella'!M13+'BEZGUBOV Tatiana'!M13+'RIFFAUD Jean François '!M13+'BROERING Lucas José '!M13</f>
        <v>3119.6099999999997</v>
      </c>
      <c r="K13" s="90">
        <f>'Miodrag MILIC'!P13+'BERTHE Alexandra'!P13+'SANDRI Sandro'!P13+'JAUD Jean Paul'!P13+'REBELO MATOS Daniel Filipe'!P13+'BALDE Binta'!P13+'Omigie Evbaguehize Stella'!P13+'BEZGUBOV Tatiana'!P13+'RIFFAUD Jean François '!P13+'BROERING Lucas José '!P13</f>
        <v>30478.799999999996</v>
      </c>
      <c r="L13" s="201"/>
      <c r="M13" s="202">
        <f t="shared" si="0"/>
        <v>26372.97</v>
      </c>
      <c r="N13" s="202"/>
      <c r="O13" s="90">
        <f t="shared" si="1"/>
        <v>3119.6099999999997</v>
      </c>
      <c r="P13" s="90">
        <f>'Miodrag MILIC'!J13+'Miodrag MILIC'!N13+'Miodrag MILIC'!O13+'BERTHE Alexandra'!J13+'BERTHE Alexandra'!N13+'BERTHE Alexandra'!O13+'REBELO MATOS Daniel Filipe'!J13+'REBELO MATOS Daniel Filipe'!N13+'REBELO MATOS Daniel Filipe'!O13+'BALDE Binta'!J13+'BALDE Binta'!N13+'BALDE Binta'!O13+'Omigie Evbaguehize Stella'!J13+'Omigie Evbaguehize Stella'!N13+'BEZGUBOV Tatiana'!J13+'BEZGUBOV Tatiana'!N13+'BEZGUBOV Tatiana'!O13+'RIFFAUD Jean François '!J13+'RIFFAUD Jean François '!N13+'RIFFAUD Jean François '!O13+'BROERING Lucas José '!J13+'BROERING Lucas José '!N13</f>
        <v>710.98000000000013</v>
      </c>
    </row>
    <row r="14" spans="1:16" ht="15" x14ac:dyDescent="0.25">
      <c r="A14" s="41" t="s">
        <v>103</v>
      </c>
      <c r="B14" s="90">
        <f>'Miodrag MILIC'!F14+'BERTHE Alexandra'!F14+'SANDRI Sandro'!F14+'JAUD Jean Paul'!F14+'REBELO MATOS Daniel Filipe'!F14+'BALDE Binta'!F14+'Omigie Evbaguehize Stella'!F14+'BEZGUBOV Tatiana'!F14+'RIFFAUD Jean François '!F14+'BROERING Lucas José '!F14</f>
        <v>31712.794999999998</v>
      </c>
      <c r="C14" s="90">
        <f>'Miodrag MILIC'!G14+'BERTHE Alexandra'!G14+'SANDRI Sandro'!G14+'JAUD Jean Paul'!G14+'REBELO MATOS Daniel Filipe'!G14+'BALDE Binta'!G14+'Omigie Evbaguehize Stella'!G14+'BEZGUBOV Tatiana'!G14+'RIFFAUD Jean François '!G14+'BROERING Lucas José '!G14</f>
        <v>31712.794999999998</v>
      </c>
      <c r="D14" s="90">
        <f>'Miodrag MILIC'!H14+'BERTHE Alexandra'!H14+'SANDRI Sandro'!H14+'JAUD Jean Paul'!H14+'REBELO MATOS Daniel Filipe'!H14+'BALDE Binta'!H14+'Omigie Evbaguehize Stella'!H14+'BEZGUBOV Tatiana'!H14+'RIFFAUD Jean François '!H14+'BROERING Lucas José '!H14</f>
        <v>967.25999999999988</v>
      </c>
      <c r="E14" s="90">
        <f>'Miodrag MILIC'!I14+'BERTHE Alexandra'!I14+'SANDRI Sandro'!I14+'JAUD Jean Paul'!I14+'REBELO MATOS Daniel Filipe'!I14+'BALDE Binta'!I14+'Omigie Evbaguehize Stella'!I14+'BEZGUBOV Tatiana'!I14+'RIFFAUD Jean François '!I14+'BROERING Lucas José '!I14</f>
        <v>2537.0100000000002</v>
      </c>
      <c r="F14" s="90"/>
      <c r="G14" s="90"/>
      <c r="H14" s="90">
        <f>'Miodrag MILIC'!K14+'BERTHE Alexandra'!K14+'SANDRI Sandro'!K14+'JAUD Jean Paul'!K14+'REBELO MATOS Daniel Filipe'!K14+'BALDE Binta'!K14+'Omigie Evbaguehize Stella'!K14+'BEZGUBOV Tatiana'!K14+'RIFFAUD Jean François '!K14+'BROERING Lucas José '!K14</f>
        <v>682.75</v>
      </c>
      <c r="I14" s="90">
        <f>'Miodrag MILIC'!L14+'BERTHE Alexandra'!L14+'SANDRI Sandro'!L14+'JAUD Jean Paul'!L14+'REBELO MATOS Daniel Filipe'!L14+'BALDE Binta'!L14+'Omigie Evbaguehize Stella'!L14+'BEZGUBOV Tatiana'!L14+'RIFFAUD Jean François '!L14+'BROERING Lucas José '!L14</f>
        <v>27525.77</v>
      </c>
      <c r="J14" s="90">
        <f>'Miodrag MILIC'!M14+'BERTHE Alexandra'!M14+'SANDRI Sandro'!M14+'JAUD Jean Paul'!M14+'REBELO MATOS Daniel Filipe'!M14+'BALDE Binta'!M14+'Omigie Evbaguehize Stella'!M14+'BEZGUBOV Tatiana'!M14+'RIFFAUD Jean François '!M14+'BROERING Lucas José '!M14</f>
        <v>5227.5</v>
      </c>
      <c r="K14" s="90">
        <f>'Miodrag MILIC'!P14+'BERTHE Alexandra'!P14+'SANDRI Sandro'!P14+'JAUD Jean Paul'!P14+'REBELO MATOS Daniel Filipe'!P14+'BALDE Binta'!P14+'Omigie Evbaguehize Stella'!P14+'BEZGUBOV Tatiana'!P14+'RIFFAUD Jean François '!P14+'BROERING Lucas José '!P14</f>
        <v>24814.620000000003</v>
      </c>
      <c r="L14" s="201"/>
      <c r="M14" s="202">
        <f t="shared" si="0"/>
        <v>27525.77</v>
      </c>
      <c r="N14" s="202"/>
      <c r="O14" s="90">
        <f t="shared" si="1"/>
        <v>5227.5</v>
      </c>
      <c r="P14" s="90">
        <f>'Miodrag MILIC'!J14+'Miodrag MILIC'!N14+'Miodrag MILIC'!O14+'BERTHE Alexandra'!J14+'BERTHE Alexandra'!N14+'BERTHE Alexandra'!O14+'REBELO MATOS Daniel Filipe'!J14+'REBELO MATOS Daniel Filipe'!N14+'REBELO MATOS Daniel Filipe'!O14+'BALDE Binta'!J14+'BALDE Binta'!N14+'BALDE Binta'!O14+'Omigie Evbaguehize Stella'!J14+'Omigie Evbaguehize Stella'!N14+'BEZGUBOV Tatiana'!J14+'BEZGUBOV Tatiana'!N14+'BEZGUBOV Tatiana'!O14+'RIFFAUD Jean François '!J14+'RIFFAUD Jean François '!N14+'RIFFAUD Jean François '!O14+'BROERING Lucas José '!J14+'BROERING Lucas José '!N14</f>
        <v>402</v>
      </c>
    </row>
    <row r="15" spans="1:16" ht="15" x14ac:dyDescent="0.25">
      <c r="A15" s="40" t="s">
        <v>104</v>
      </c>
      <c r="B15" s="90">
        <f>'Miodrag MILIC'!F15+'BERTHE Alexandra'!F15+'SANDRI Sandro'!F15+'JAUD Jean Paul'!F15+'REBELO MATOS Daniel Filipe'!F15+'BALDE Binta'!F15+'Omigie Evbaguehize Stella'!F15+'BEZGUBOV Tatiana'!F15+'RIFFAUD Jean François '!F15+'BROERING Lucas José '!F15</f>
        <v>34478.165000000001</v>
      </c>
      <c r="C15" s="90">
        <f>'Miodrag MILIC'!G15+'BERTHE Alexandra'!G15+'SANDRI Sandro'!G15+'JAUD Jean Paul'!G15+'REBELO MATOS Daniel Filipe'!G15+'BALDE Binta'!G15+'Omigie Evbaguehize Stella'!G15+'BEZGUBOV Tatiana'!G15+'RIFFAUD Jean François '!G15+'BROERING Lucas José '!G15</f>
        <v>34478.165000000001</v>
      </c>
      <c r="D15" s="90">
        <f>'Miodrag MILIC'!H15+'BERTHE Alexandra'!H15+'SANDRI Sandro'!H15+'JAUD Jean Paul'!H15+'REBELO MATOS Daniel Filipe'!H15+'BALDE Binta'!H15+'Omigie Evbaguehize Stella'!H15+'BEZGUBOV Tatiana'!H15+'RIFFAUD Jean François '!H15+'BROERING Lucas José '!H15</f>
        <v>1051.6100000000001</v>
      </c>
      <c r="E15" s="90">
        <f>'Miodrag MILIC'!I15+'BERTHE Alexandra'!I15+'SANDRI Sandro'!I15+'JAUD Jean Paul'!I15+'REBELO MATOS Daniel Filipe'!I15+'BALDE Binta'!I15+'Omigie Evbaguehize Stella'!I15+'BEZGUBOV Tatiana'!I15+'RIFFAUD Jean François '!I15+'BROERING Lucas José '!I15</f>
        <v>2758.2300000000005</v>
      </c>
      <c r="F15" s="90"/>
      <c r="G15" s="90"/>
      <c r="H15" s="90">
        <f>'Miodrag MILIC'!K15+'BERTHE Alexandra'!K15+'SANDRI Sandro'!K15+'JAUD Jean Paul'!K15+'REBELO MATOS Daniel Filipe'!K15+'BALDE Binta'!K15+'Omigie Evbaguehize Stella'!K15+'BEZGUBOV Tatiana'!K15+'RIFFAUD Jean François '!K15+'BROERING Lucas José '!K15</f>
        <v>907.81</v>
      </c>
      <c r="I15" s="90">
        <f>'Miodrag MILIC'!L15+'BERTHE Alexandra'!L15+'SANDRI Sandro'!L15+'JAUD Jean Paul'!L15+'REBELO MATOS Daniel Filipe'!L15+'BALDE Binta'!L15+'Omigie Evbaguehize Stella'!L15+'BEZGUBOV Tatiana'!L15+'RIFFAUD Jean François '!L15+'BROERING Lucas José '!L15</f>
        <v>29760.499999999996</v>
      </c>
      <c r="J15" s="90" t="e">
        <f>'Miodrag MILIC'!M15+'BERTHE Alexandra'!M15+'SANDRI Sandro'!M15+'JAUD Jean Paul'!M15+'REBELO MATOS Daniel Filipe'!M15+'BALDE Binta'!M15+'Omigie Evbaguehize Stella'!M15+'BEZGUBOV Tatiana'!M15+'RIFFAUD Jean François '!M15+'BROERING Lucas José '!M15</f>
        <v>#VALUE!</v>
      </c>
      <c r="K15" s="90">
        <f>'Miodrag MILIC'!P15+'BERTHE Alexandra'!P15+'SANDRI Sandro'!P15+'JAUD Jean Paul'!P15+'REBELO MATOS Daniel Filipe'!P15+'BALDE Binta'!P15+'Omigie Evbaguehize Stella'!P15+'BEZGUBOV Tatiana'!P15+'RIFFAUD Jean François '!P15+'BROERING Lucas José '!P15</f>
        <v>25690.040000000005</v>
      </c>
      <c r="L15" s="201"/>
      <c r="M15" s="202">
        <f t="shared" si="0"/>
        <v>29760.499999999996</v>
      </c>
      <c r="N15" s="202"/>
      <c r="O15" s="90" t="e">
        <f t="shared" si="1"/>
        <v>#VALUE!</v>
      </c>
      <c r="P15" s="90">
        <f>'Miodrag MILIC'!J15+'Miodrag MILIC'!N15+'Miodrag MILIC'!O15+'BERTHE Alexandra'!J15+'BERTHE Alexandra'!N15+'BERTHE Alexandra'!O15+'REBELO MATOS Daniel Filipe'!J15+'REBELO MATOS Daniel Filipe'!N15+'REBELO MATOS Daniel Filipe'!O15+'BALDE Binta'!J15+'BALDE Binta'!N15+'BALDE Binta'!O15+'Omigie Evbaguehize Stella'!J15+'Omigie Evbaguehize Stella'!N15+'BEZGUBOV Tatiana'!J15+'BEZGUBOV Tatiana'!N15+'BEZGUBOV Tatiana'!O15+'RIFFAUD Jean François '!J15+'RIFFAUD Jean François '!N15+'RIFFAUD Jean François '!O15+'BROERING Lucas José '!J15+'BROERING Lucas José '!N15</f>
        <v>589.98</v>
      </c>
    </row>
    <row r="16" spans="1:16" ht="15" x14ac:dyDescent="0.25">
      <c r="A16" s="40" t="s">
        <v>47</v>
      </c>
      <c r="B16" s="90">
        <f>'Miodrag MILIC'!F16+'BERTHE Alexandra'!F16+'SANDRI Sandro'!F16+'JAUD Jean Paul'!F16+'REBELO MATOS Daniel Filipe'!F16+'BALDE Binta'!F16+'Omigie Evbaguehize Stella'!F16+'BEZGUBOV Tatiana'!F16+'RIFFAUD Jean François '!F16+'BROERING Lucas José '!F16</f>
        <v>30180.945</v>
      </c>
      <c r="C16" s="90">
        <f>'Miodrag MILIC'!G16+'BERTHE Alexandra'!G16+'SANDRI Sandro'!G16+'JAUD Jean Paul'!G16+'REBELO MATOS Daniel Filipe'!G16+'BALDE Binta'!G16+'Omigie Evbaguehize Stella'!G16+'BEZGUBOV Tatiana'!G16+'RIFFAUD Jean François '!G16+'BROERING Lucas José '!G16</f>
        <v>30180.945</v>
      </c>
      <c r="D16" s="90">
        <f>'Miodrag MILIC'!H16+'BERTHE Alexandra'!H16+'SANDRI Sandro'!H16+'JAUD Jean Paul'!H16+'REBELO MATOS Daniel Filipe'!H16+'BALDE Binta'!H16+'Omigie Evbaguehize Stella'!H16+'BEZGUBOV Tatiana'!H16+'RIFFAUD Jean François '!H16+'BROERING Lucas José '!H16</f>
        <v>920.53999999999985</v>
      </c>
      <c r="E16" s="90">
        <f>'Miodrag MILIC'!I16+'BERTHE Alexandra'!I16+'SANDRI Sandro'!I16+'JAUD Jean Paul'!I16+'REBELO MATOS Daniel Filipe'!I16+'BALDE Binta'!I16+'Omigie Evbaguehize Stella'!I16+'BEZGUBOV Tatiana'!I16+'RIFFAUD Jean François '!I16+'BROERING Lucas José '!I16</f>
        <v>2414.46</v>
      </c>
      <c r="F16" s="90"/>
      <c r="G16" s="90"/>
      <c r="H16" s="90">
        <f>'Miodrag MILIC'!K16+'BERTHE Alexandra'!K16+'SANDRI Sandro'!K16+'JAUD Jean Paul'!K16+'REBELO MATOS Daniel Filipe'!K16+'BALDE Binta'!K16+'Omigie Evbaguehize Stella'!K16+'BEZGUBOV Tatiana'!K16+'RIFFAUD Jean François '!K16+'BROERING Lucas José '!K16</f>
        <v>907.81</v>
      </c>
      <c r="I16" s="90">
        <f>'Miodrag MILIC'!L16+'BERTHE Alexandra'!L16+'SANDRI Sandro'!L16+'JAUD Jean Paul'!L16+'REBELO MATOS Daniel Filipe'!L16+'BALDE Binta'!L16+'Omigie Evbaguehize Stella'!L16+'BEZGUBOV Tatiana'!L16+'RIFFAUD Jean François '!L16+'BROERING Lucas José '!L16</f>
        <v>25938.13</v>
      </c>
      <c r="J16" s="90">
        <f>'Miodrag MILIC'!M16+'BERTHE Alexandra'!M16+'SANDRI Sandro'!M16+'JAUD Jean Paul'!M16+'REBELO MATOS Daniel Filipe'!M16+'BALDE Binta'!M16+'Omigie Evbaguehize Stella'!M16+'BEZGUBOV Tatiana'!M16+'RIFFAUD Jean François '!M16+'BROERING Lucas José '!M16</f>
        <v>3875.1</v>
      </c>
      <c r="K16" s="90">
        <f>'Miodrag MILIC'!P16+'BERTHE Alexandra'!P16+'SANDRI Sandro'!P16+'JAUD Jean Paul'!P16+'REBELO MATOS Daniel Filipe'!P16+'BALDE Binta'!P16+'Omigie Evbaguehize Stella'!P16+'BEZGUBOV Tatiana'!P16+'RIFFAUD Jean François '!P16+'BROERING Lucas José '!P16</f>
        <v>18987.63</v>
      </c>
      <c r="L16" s="201"/>
      <c r="M16" s="202">
        <f t="shared" si="0"/>
        <v>25938.13</v>
      </c>
      <c r="N16" s="202"/>
      <c r="O16" s="90">
        <f t="shared" si="1"/>
        <v>3875.1</v>
      </c>
      <c r="P16" s="90">
        <f>'Miodrag MILIC'!J16+'Miodrag MILIC'!N16+'Miodrag MILIC'!O16+'BERTHE Alexandra'!J16+'BERTHE Alexandra'!N16+'BERTHE Alexandra'!O16+'REBELO MATOS Daniel Filipe'!J16+'REBELO MATOS Daniel Filipe'!N16+'REBELO MATOS Daniel Filipe'!O16+'BALDE Binta'!J16+'BALDE Binta'!N16+'BALDE Binta'!O16+'Omigie Evbaguehize Stella'!J16+'Omigie Evbaguehize Stella'!N16+'BEZGUBOV Tatiana'!J16+'BEZGUBOV Tatiana'!N16+'BEZGUBOV Tatiana'!O16+'RIFFAUD Jean François '!J16+'RIFFAUD Jean François '!N16+'RIFFAUD Jean François '!O16+'BROERING Lucas José '!J16+'BROERING Lucas José '!N16</f>
        <v>581.36</v>
      </c>
    </row>
    <row r="17" spans="1:16" ht="15" x14ac:dyDescent="0.25">
      <c r="A17" s="40" t="s">
        <v>48</v>
      </c>
      <c r="B17" s="90">
        <f>'Miodrag MILIC'!F17+'BERTHE Alexandra'!F17+'SANDRI Sandro'!F17+'JAUD Jean Paul'!F17+'REBELO MATOS Daniel Filipe'!F17+'BALDE Binta'!F17+'Omigie Evbaguehize Stella'!F17+'BEZGUBOV Tatiana'!F17+'RIFFAUD Jean François '!F17+'BROERING Lucas José '!F17</f>
        <v>24480.945</v>
      </c>
      <c r="C17" s="90">
        <f>'Miodrag MILIC'!G17+'BERTHE Alexandra'!G17+'SANDRI Sandro'!G17+'JAUD Jean Paul'!G17+'REBELO MATOS Daniel Filipe'!G17+'BALDE Binta'!G17+'Omigie Evbaguehize Stella'!G17+'BEZGUBOV Tatiana'!G17+'RIFFAUD Jean François '!G17+'BROERING Lucas José '!G17</f>
        <v>24480.945</v>
      </c>
      <c r="D17" s="90">
        <f>'Miodrag MILIC'!H17+'BERTHE Alexandra'!H17+'SANDRI Sandro'!H17+'JAUD Jean Paul'!H17+'REBELO MATOS Daniel Filipe'!H17+'BALDE Binta'!H17+'Omigie Evbaguehize Stella'!H17+'BEZGUBOV Tatiana'!H17+'RIFFAUD Jean François '!H17+'BROERING Lucas José '!H17</f>
        <v>746.68999999999983</v>
      </c>
      <c r="E17" s="90">
        <f>'Miodrag MILIC'!I17+'BERTHE Alexandra'!I17+'SANDRI Sandro'!I17+'JAUD Jean Paul'!I17+'REBELO MATOS Daniel Filipe'!I17+'BALDE Binta'!I17+'Omigie Evbaguehize Stella'!I17+'BEZGUBOV Tatiana'!I17+'RIFFAUD Jean François '!I17+'BROERING Lucas José '!I17</f>
        <v>1958.46</v>
      </c>
      <c r="F17" s="90"/>
      <c r="G17" s="90"/>
      <c r="H17" s="90">
        <f>'Miodrag MILIC'!K17+'BERTHE Alexandra'!K17+'SANDRI Sandro'!K17+'JAUD Jean Paul'!K17+'REBELO MATOS Daniel Filipe'!K17+'BALDE Binta'!K17+'Omigie Evbaguehize Stella'!K17+'BEZGUBOV Tatiana'!K17+'RIFFAUD Jean François '!K17+'BROERING Lucas José '!K17</f>
        <v>907.81</v>
      </c>
      <c r="I17" s="90">
        <f>'Miodrag MILIC'!L17+'BERTHE Alexandra'!L17+'SANDRI Sandro'!L17+'JAUD Jean Paul'!L17+'REBELO MATOS Daniel Filipe'!L17+'BALDE Binta'!L17+'Omigie Evbaguehize Stella'!L17+'BEZGUBOV Tatiana'!L17+'RIFFAUD Jean François '!L17+'BROERING Lucas José '!L17</f>
        <v>20867.98</v>
      </c>
      <c r="J17" s="90">
        <f>'Miodrag MILIC'!M17+'BERTHE Alexandra'!M17+'SANDRI Sandro'!M17+'JAUD Jean Paul'!M17+'REBELO MATOS Daniel Filipe'!M17+'BALDE Binta'!M17+'Omigie Evbaguehize Stella'!M17+'BEZGUBOV Tatiana'!M17+'RIFFAUD Jean François '!M17+'BROERING Lucas José '!M17</f>
        <v>1933.2999999999997</v>
      </c>
      <c r="K17" s="90">
        <f>'Miodrag MILIC'!P17+'BERTHE Alexandra'!P17+'SANDRI Sandro'!P17+'JAUD Jean Paul'!P17+'REBELO MATOS Daniel Filipe'!P17+'BALDE Binta'!P17+'Omigie Evbaguehize Stella'!P17+'BEZGUBOV Tatiana'!P17+'RIFFAUD Jean François '!P17+'BROERING Lucas José '!P17</f>
        <v>18835.05</v>
      </c>
      <c r="L17" s="201"/>
      <c r="M17" s="202">
        <f t="shared" si="0"/>
        <v>20867.98</v>
      </c>
      <c r="N17" s="202"/>
      <c r="O17" s="90">
        <f t="shared" si="1"/>
        <v>1933.2999999999997</v>
      </c>
      <c r="P17" s="90">
        <f>'Miodrag MILIC'!J17+'Miodrag MILIC'!N17+'Miodrag MILIC'!O17+'BERTHE Alexandra'!J17+'BERTHE Alexandra'!N17+'BERTHE Alexandra'!O17+'REBELO MATOS Daniel Filipe'!J17+'REBELO MATOS Daniel Filipe'!N17+'REBELO MATOS Daniel Filipe'!O17+'BALDE Binta'!J17+'BALDE Binta'!N17+'BALDE Binta'!O17+'Omigie Evbaguehize Stella'!J17+'Omigie Evbaguehize Stella'!N17+'BEZGUBOV Tatiana'!J17+'BEZGUBOV Tatiana'!N17+'BEZGUBOV Tatiana'!O17+'RIFFAUD Jean François '!J17+'RIFFAUD Jean François '!N17+'RIFFAUD Jean François '!O17+'BROERING Lucas José '!J17+'BROERING Lucas José '!N17</f>
        <v>581.36</v>
      </c>
    </row>
    <row r="18" spans="1:16" ht="15" x14ac:dyDescent="0.25">
      <c r="A18" s="40" t="s">
        <v>49</v>
      </c>
      <c r="B18" s="90">
        <f>'Miodrag MILIC'!F18+'BERTHE Alexandra'!F18+'SANDRI Sandro'!F18+'JAUD Jean Paul'!F18+'REBELO MATOS Daniel Filipe'!F18+'BALDE Binta'!F18+'Omigie Evbaguehize Stella'!F18+'BEZGUBOV Tatiana'!F18+'RIFFAUD Jean François '!F18+'BROERING Lucas José '!F18</f>
        <v>21568.190000000002</v>
      </c>
      <c r="C18" s="90">
        <f>'Miodrag MILIC'!G18+'BERTHE Alexandra'!G18+'SANDRI Sandro'!G18+'JAUD Jean Paul'!G18+'REBELO MATOS Daniel Filipe'!G18+'BALDE Binta'!G18+'Omigie Evbaguehize Stella'!G18+'BEZGUBOV Tatiana'!G18+'RIFFAUD Jean François '!G18+'BROERING Lucas José '!G18</f>
        <v>21568.190000000002</v>
      </c>
      <c r="D18" s="90">
        <f>'Miodrag MILIC'!H18+'BERTHE Alexandra'!H18+'SANDRI Sandro'!H18+'JAUD Jean Paul'!H18+'REBELO MATOS Daniel Filipe'!H18+'BALDE Binta'!H18+'Omigie Evbaguehize Stella'!H18+'BEZGUBOV Tatiana'!H18+'RIFFAUD Jean François '!H18+'BROERING Lucas José '!H18</f>
        <v>657.84999999999991</v>
      </c>
      <c r="E18" s="90">
        <f>'Miodrag MILIC'!I18+'BERTHE Alexandra'!I18+'SANDRI Sandro'!I18+'JAUD Jean Paul'!I18+'REBELO MATOS Daniel Filipe'!I18+'BALDE Binta'!I18+'Omigie Evbaguehize Stella'!I18+'BEZGUBOV Tatiana'!I18+'RIFFAUD Jean François '!I18+'BROERING Lucas José '!I18</f>
        <v>1725.44</v>
      </c>
      <c r="F18" s="90"/>
      <c r="G18" s="90"/>
      <c r="H18" s="90">
        <f>'Miodrag MILIC'!K18+'BERTHE Alexandra'!K18+'SANDRI Sandro'!K18+'JAUD Jean Paul'!K18+'REBELO MATOS Daniel Filipe'!K18+'BALDE Binta'!K18+'Omigie Evbaguehize Stella'!K18+'BEZGUBOV Tatiana'!K18+'RIFFAUD Jean François '!K18+'BROERING Lucas José '!K18</f>
        <v>792.31</v>
      </c>
      <c r="I18" s="90">
        <f>'Miodrag MILIC'!L18+'BERTHE Alexandra'!L18+'SANDRI Sandro'!L18+'JAUD Jean Paul'!L18+'REBELO MATOS Daniel Filipe'!L18+'BALDE Binta'!L18+'Omigie Evbaguehize Stella'!L18+'BEZGUBOV Tatiana'!L18+'RIFFAUD Jean François '!L18+'BROERING Lucas José '!L18</f>
        <v>18392.580000000002</v>
      </c>
      <c r="J18" s="90">
        <f>'Miodrag MILIC'!M18+'BERTHE Alexandra'!M18+'SANDRI Sandro'!M18+'JAUD Jean Paul'!M18+'REBELO MATOS Daniel Filipe'!M18+'BALDE Binta'!M18+'Omigie Evbaguehize Stella'!M18+'BEZGUBOV Tatiana'!M18+'RIFFAUD Jean François '!M18+'BROERING Lucas José '!M18</f>
        <v>2595</v>
      </c>
      <c r="K18" s="90">
        <f>'Miodrag MILIC'!P18+'BERTHE Alexandra'!P18+'SANDRI Sandro'!P18+'JAUD Jean Paul'!P18+'REBELO MATOS Daniel Filipe'!P18+'BALDE Binta'!P18+'Omigie Evbaguehize Stella'!P18+'BEZGUBOV Tatiana'!P18+'RIFFAUD Jean François '!P18+'BROERING Lucas José '!P18</f>
        <v>15794.14</v>
      </c>
      <c r="L18" s="201"/>
      <c r="M18" s="202">
        <f>I18</f>
        <v>18392.580000000002</v>
      </c>
      <c r="N18" s="202"/>
      <c r="O18" s="90">
        <f>J18</f>
        <v>2595</v>
      </c>
      <c r="P18" s="90">
        <f>'Miodrag MILIC'!J18+'Miodrag MILIC'!N18+'Miodrag MILIC'!O18+'BERTHE Alexandra'!J18+'BERTHE Alexandra'!N18+'BERTHE Alexandra'!O18+'REBELO MATOS Daniel Filipe'!J18+'REBELO MATOS Daniel Filipe'!N18+'REBELO MATOS Daniel Filipe'!O18+'BALDE Binta'!J18+'BALDE Binta'!N18+'BALDE Binta'!O18+'Omigie Evbaguehize Stella'!J18+'Omigie Evbaguehize Stella'!N18+'BEZGUBOV Tatiana'!J18+'BEZGUBOV Tatiana'!N18+'BEZGUBOV Tatiana'!O18+'RIFFAUD Jean François '!J18+'RIFFAUD Jean François '!N18+'RIFFAUD Jean François '!O18+'BROERING Lucas José '!J18+'BROERING Lucas José '!N18</f>
        <v>581.36</v>
      </c>
    </row>
    <row r="19" spans="1:16" ht="15" x14ac:dyDescent="0.25">
      <c r="A19" s="40" t="s">
        <v>50</v>
      </c>
      <c r="B19" s="90">
        <f>'Miodrag MILIC'!F19+'BERTHE Alexandra'!F19+'SANDRI Sandro'!F19+'JAUD Jean Paul'!F19+'REBELO MATOS Daniel Filipe'!F19+'BALDE Binta'!F19+'Omigie Evbaguehize Stella'!F19+'BEZGUBOV Tatiana'!F19+'RIFFAUD Jean François '!F19+'BROERING Lucas José '!F19</f>
        <v>22095.120000000003</v>
      </c>
      <c r="C19" s="90">
        <f>'Miodrag MILIC'!G19+'BERTHE Alexandra'!G19+'SANDRI Sandro'!G19+'JAUD Jean Paul'!G19+'REBELO MATOS Daniel Filipe'!G19+'BALDE Binta'!G19+'Omigie Evbaguehize Stella'!G19+'BEZGUBOV Tatiana'!G19+'RIFFAUD Jean François '!G19+'BROERING Lucas José '!G19</f>
        <v>22095.120000000003</v>
      </c>
      <c r="D19" s="90">
        <f>'Miodrag MILIC'!H19+'BERTHE Alexandra'!H19+'SANDRI Sandro'!H19+'JAUD Jean Paul'!H19+'REBELO MATOS Daniel Filipe'!H19+'BALDE Binta'!H19+'Omigie Evbaguehize Stella'!H19+'BEZGUBOV Tatiana'!H19+'RIFFAUD Jean François '!H19+'BROERING Lucas José '!H19</f>
        <v>673.90999999999985</v>
      </c>
      <c r="E19" s="90">
        <f>'Miodrag MILIC'!I19+'BERTHE Alexandra'!I19+'SANDRI Sandro'!I19+'JAUD Jean Paul'!I19+'REBELO MATOS Daniel Filipe'!I19+'BALDE Binta'!I19+'Omigie Evbaguehize Stella'!I19+'BEZGUBOV Tatiana'!I19+'RIFFAUD Jean François '!I19+'BROERING Lucas José '!I19</f>
        <v>1767.6000000000001</v>
      </c>
      <c r="F19" s="90"/>
      <c r="G19" s="90"/>
      <c r="H19" s="90">
        <f>'Miodrag MILIC'!K19+'BERTHE Alexandra'!K19+'SANDRI Sandro'!K19+'JAUD Jean Paul'!K19+'REBELO MATOS Daniel Filipe'!K19+'BALDE Binta'!K19+'Omigie Evbaguehize Stella'!K19+'BEZGUBOV Tatiana'!K19+'RIFFAUD Jean François '!K19+'BROERING Lucas José '!K19</f>
        <v>792.31</v>
      </c>
      <c r="I19" s="90">
        <f>'Miodrag MILIC'!L19+'BERTHE Alexandra'!L19+'SANDRI Sandro'!L19+'JAUD Jean Paul'!L19+'REBELO MATOS Daniel Filipe'!L19+'BALDE Binta'!L19+'Omigie Evbaguehize Stella'!L19+'BEZGUBOV Tatiana'!L19+'RIFFAUD Jean François '!L19+'BROERING Lucas José '!L19</f>
        <v>18861.29</v>
      </c>
      <c r="J19" s="90">
        <f>'Miodrag MILIC'!M19+'BERTHE Alexandra'!M19+'SANDRI Sandro'!M19+'JAUD Jean Paul'!M19+'REBELO MATOS Daniel Filipe'!M19+'BALDE Binta'!M19+'Omigie Evbaguehize Stella'!M19+'BEZGUBOV Tatiana'!M19+'RIFFAUD Jean François '!M19+'BROERING Lucas José '!M19</f>
        <v>2729.4</v>
      </c>
      <c r="K19" s="90">
        <f>'Miodrag MILIC'!P19+'BERTHE Alexandra'!P19+'SANDRI Sandro'!P19+'JAUD Jean Paul'!P19+'REBELO MATOS Daniel Filipe'!P19+'BALDE Binta'!P19+'Omigie Evbaguehize Stella'!P19+'BEZGUBOV Tatiana'!P19+'RIFFAUD Jean François '!P19+'BROERING Lucas José '!P19</f>
        <v>16562.480000000003</v>
      </c>
      <c r="L19" s="201"/>
      <c r="M19" s="202">
        <f>I19</f>
        <v>18861.29</v>
      </c>
      <c r="N19" s="202"/>
      <c r="O19" s="90">
        <f>J19</f>
        <v>2729.4</v>
      </c>
      <c r="P19" s="90">
        <f>'Miodrag MILIC'!J19+'Miodrag MILIC'!N19+'Miodrag MILIC'!O19+'BERTHE Alexandra'!J19+'BERTHE Alexandra'!N19+'BERTHE Alexandra'!O19+'REBELO MATOS Daniel Filipe'!J19+'REBELO MATOS Daniel Filipe'!N19+'REBELO MATOS Daniel Filipe'!O19+'BALDE Binta'!J19+'BALDE Binta'!N19+'BALDE Binta'!O19+'Omigie Evbaguehize Stella'!J19+'Omigie Evbaguehize Stella'!N19+'BEZGUBOV Tatiana'!J19+'BEZGUBOV Tatiana'!N19+'BEZGUBOV Tatiana'!O19+'RIFFAUD Jean François '!J19+'RIFFAUD Jean François '!N19+'RIFFAUD Jean François '!O19+'BROERING Lucas José '!J19+'BROERING Lucas José '!N19</f>
        <v>571.42999999999995</v>
      </c>
    </row>
    <row r="20" spans="1:16" ht="15" x14ac:dyDescent="0.25">
      <c r="A20" s="40" t="s">
        <v>51</v>
      </c>
      <c r="B20" s="90">
        <f>'Miodrag MILIC'!F20+'BERTHE Alexandra'!F20+'SANDRI Sandro'!F20+'JAUD Jean Paul'!F20+'REBELO MATOS Daniel Filipe'!F20+'BALDE Binta'!F20+'Omigie Evbaguehize Stella'!F20+'BEZGUBOV Tatiana'!F20+'RIFFAUD Jean François '!F20+'BROERING Lucas José '!F20</f>
        <v>20295.120000000003</v>
      </c>
      <c r="C20" s="90">
        <f>'Miodrag MILIC'!G20+'BERTHE Alexandra'!G20+'SANDRI Sandro'!G20+'JAUD Jean Paul'!G20+'REBELO MATOS Daniel Filipe'!G20+'BALDE Binta'!G20+'Omigie Evbaguehize Stella'!G20+'BEZGUBOV Tatiana'!G20+'RIFFAUD Jean François '!G20+'BROERING Lucas José '!G20</f>
        <v>20295.120000000003</v>
      </c>
      <c r="D20" s="90">
        <f>'Miodrag MILIC'!H20+'BERTHE Alexandra'!H20+'SANDRI Sandro'!H20+'JAUD Jean Paul'!H20+'REBELO MATOS Daniel Filipe'!H20+'BALDE Binta'!H20+'Omigie Evbaguehize Stella'!H20+'BEZGUBOV Tatiana'!H20+'RIFFAUD Jean François '!H20+'BROERING Lucas José '!H20</f>
        <v>619.00999999999988</v>
      </c>
      <c r="E20" s="90">
        <f>'Miodrag MILIC'!I20+'BERTHE Alexandra'!I20+'SANDRI Sandro'!I20+'JAUD Jean Paul'!I20+'REBELO MATOS Daniel Filipe'!I20+'BALDE Binta'!I20+'Omigie Evbaguehize Stella'!I20+'BEZGUBOV Tatiana'!I20+'RIFFAUD Jean François '!I20+'BROERING Lucas José '!I20</f>
        <v>1623.6000000000001</v>
      </c>
      <c r="F20" s="90"/>
      <c r="G20" s="90"/>
      <c r="H20" s="90">
        <f>'Miodrag MILIC'!K20+'BERTHE Alexandra'!K20+'SANDRI Sandro'!K20+'JAUD Jean Paul'!K20+'REBELO MATOS Daniel Filipe'!K20+'BALDE Binta'!K20+'Omigie Evbaguehize Stella'!K20+'BEZGUBOV Tatiana'!K20+'RIFFAUD Jean François '!K20+'BROERING Lucas José '!K20</f>
        <v>332.31</v>
      </c>
      <c r="I20" s="90">
        <f>'Miodrag MILIC'!L20+'BERTHE Alexandra'!L20+'SANDRI Sandro'!L20+'JAUD Jean Paul'!L20+'REBELO MATOS Daniel Filipe'!L20+'BALDE Binta'!L20+'Omigie Evbaguehize Stella'!L20+'BEZGUBOV Tatiana'!L20+'RIFFAUD Jean François '!L20+'BROERING Lucas José '!L20</f>
        <v>17720.189999999999</v>
      </c>
      <c r="J20" s="90">
        <f>'Miodrag MILIC'!M20+'BERTHE Alexandra'!M20+'SANDRI Sandro'!M20+'JAUD Jean Paul'!M20+'REBELO MATOS Daniel Filipe'!M20+'BALDE Binta'!M20+'Omigie Evbaguehize Stella'!M20+'BEZGUBOV Tatiana'!M20+'RIFFAUD Jean François '!M20+'BROERING Lucas José '!M20</f>
        <v>1805</v>
      </c>
      <c r="K20" s="90">
        <f>'Miodrag MILIC'!P20+'BERTHE Alexandra'!P20+'SANDRI Sandro'!P20+'JAUD Jean Paul'!P20+'REBELO MATOS Daniel Filipe'!P20+'BALDE Binta'!P20+'Omigie Evbaguehize Stella'!P20+'BEZGUBOV Tatiana'!P20+'RIFFAUD Jean François '!P20+'BROERING Lucas José '!P20</f>
        <v>15849.449999999999</v>
      </c>
      <c r="L20" s="201"/>
      <c r="M20" s="202">
        <f>I20</f>
        <v>17720.189999999999</v>
      </c>
      <c r="N20" s="202"/>
      <c r="O20" s="90">
        <f>J20</f>
        <v>1805</v>
      </c>
      <c r="P20" s="90">
        <f>'Miodrag MILIC'!J20+'Miodrag MILIC'!N20+'Miodrag MILIC'!O20+'BERTHE Alexandra'!J20+'BERTHE Alexandra'!N20+'BERTHE Alexandra'!O20+'REBELO MATOS Daniel Filipe'!J20+'REBELO MATOS Daniel Filipe'!N20+'REBELO MATOS Daniel Filipe'!O20+'BALDE Binta'!J20+'BALDE Binta'!N20+'BALDE Binta'!O20+'Omigie Evbaguehize Stella'!J20+'Omigie Evbaguehize Stella'!N20+'BEZGUBOV Tatiana'!J20+'BEZGUBOV Tatiana'!N20+'BEZGUBOV Tatiana'!O20+'RIFFAUD Jean François '!J20+'RIFFAUD Jean François '!N20+'RIFFAUD Jean François '!O20+'BROERING Lucas José '!J20+'BROERING Lucas José '!N20</f>
        <v>571.42999999999995</v>
      </c>
    </row>
    <row r="21" spans="1:16" ht="15.75" thickBot="1" x14ac:dyDescent="0.3">
      <c r="A21" s="40" t="s">
        <v>52</v>
      </c>
      <c r="B21" s="128">
        <f>'Miodrag MILIC'!F21+'BERTHE Alexandra'!F21+'SANDRI Sandro'!F21+'JAUD Jean Paul'!F21+'REBELO MATOS Daniel Filipe'!F21+'BALDE Binta'!F21+'Omigie Evbaguehize Stella'!F21+'BEZGUBOV Tatiana'!F21+'RIFFAUD Jean François '!F21+'BROERING Lucas José '!F21</f>
        <v>18395.13</v>
      </c>
      <c r="C21" s="128">
        <f>'Miodrag MILIC'!G21+'BERTHE Alexandra'!G21+'SANDRI Sandro'!G21+'JAUD Jean Paul'!G21+'REBELO MATOS Daniel Filipe'!G21+'BALDE Binta'!G21+'Omigie Evbaguehize Stella'!G21+'BEZGUBOV Tatiana'!G21+'RIFFAUD Jean François '!G21+'BROERING Lucas José '!G21</f>
        <v>18395.13</v>
      </c>
      <c r="D21" s="128">
        <f>'Miodrag MILIC'!H21+'BERTHE Alexandra'!H21+'SANDRI Sandro'!H21+'JAUD Jean Paul'!H21+'REBELO MATOS Daniel Filipe'!H21+'BALDE Binta'!H21+'Omigie Evbaguehize Stella'!H21+'BEZGUBOV Tatiana'!H21+'RIFFAUD Jean François '!H21+'BROERING Lucas José '!H21</f>
        <v>561.05999999999983</v>
      </c>
      <c r="E21" s="128">
        <f>'Miodrag MILIC'!I21+'BERTHE Alexandra'!I21+'SANDRI Sandro'!I21+'JAUD Jean Paul'!I21+'REBELO MATOS Daniel Filipe'!I21+'BALDE Binta'!I21+'Omigie Evbaguehize Stella'!I21+'BEZGUBOV Tatiana'!I21+'RIFFAUD Jean François '!I21+'BROERING Lucas José '!I21</f>
        <v>1471.6000000000001</v>
      </c>
      <c r="F21" s="128"/>
      <c r="G21" s="128"/>
      <c r="H21" s="128">
        <f>'Miodrag MILIC'!K21+'BERTHE Alexandra'!K21+'SANDRI Sandro'!K21+'JAUD Jean Paul'!K21+'REBELO MATOS Daniel Filipe'!K21+'BALDE Binta'!K21+'Omigie Evbaguehize Stella'!K21+'BEZGUBOV Tatiana'!K21+'RIFFAUD Jean François '!K21+'BROERING Lucas José '!K21</f>
        <v>332.31</v>
      </c>
      <c r="I21" s="128">
        <f>'Miodrag MILIC'!L21+'BERTHE Alexandra'!L21+'SANDRI Sandro'!L21+'JAUD Jean Paul'!L21+'REBELO MATOS Daniel Filipe'!L21+'BALDE Binta'!L21+'Omigie Evbaguehize Stella'!L21+'BEZGUBOV Tatiana'!L21+'RIFFAUD Jean François '!L21+'BROERING Lucas José '!L21</f>
        <v>16030.14</v>
      </c>
      <c r="J21" s="128">
        <f>'Miodrag MILIC'!M21+'BERTHE Alexandra'!M21+'SANDRI Sandro'!M21+'JAUD Jean Paul'!M21+'REBELO MATOS Daniel Filipe'!M21+'BALDE Binta'!M21+'Omigie Evbaguehize Stella'!M21+'BEZGUBOV Tatiana'!M21+'RIFFAUD Jean François '!M21+'BROERING Lucas José '!M21</f>
        <v>1222.5</v>
      </c>
      <c r="K21" s="128">
        <f>'Miodrag MILIC'!P21+'BERTHE Alexandra'!P21+'SANDRI Sandro'!P21+'JAUD Jean Paul'!P21+'REBELO MATOS Daniel Filipe'!P21+'BALDE Binta'!P21+'Omigie Evbaguehize Stella'!P21+'BEZGUBOV Tatiana'!P21+'RIFFAUD Jean François '!P21+'BROERING Lucas José '!P21</f>
        <v>16583.2</v>
      </c>
      <c r="L21" s="203"/>
      <c r="M21" s="204">
        <f>I21</f>
        <v>16030.14</v>
      </c>
      <c r="N21" s="204"/>
      <c r="O21" s="128">
        <f>J21</f>
        <v>1222.5</v>
      </c>
      <c r="P21" s="128">
        <f>'Miodrag MILIC'!J21+'Miodrag MILIC'!N21+'Miodrag MILIC'!O21+'BERTHE Alexandra'!J21+'BERTHE Alexandra'!N21+'BERTHE Alexandra'!O21+'REBELO MATOS Daniel Filipe'!J21+'REBELO MATOS Daniel Filipe'!N21+'REBELO MATOS Daniel Filipe'!O21+'BALDE Binta'!J21+'BALDE Binta'!N21+'BALDE Binta'!O21+'Omigie Evbaguehize Stella'!J21+'Omigie Evbaguehize Stella'!N21+'BEZGUBOV Tatiana'!J21+'BEZGUBOV Tatiana'!N21+'BEZGUBOV Tatiana'!O21+'RIFFAUD Jean François '!J21+'RIFFAUD Jean François '!N21+'RIFFAUD Jean François '!O21+'BROERING Lucas José '!J21+'BROERING Lucas José '!N21</f>
        <v>571.42999999999995</v>
      </c>
    </row>
    <row r="22" spans="1:16" ht="17.45" customHeight="1" thickBot="1" x14ac:dyDescent="0.3">
      <c r="A22" s="42" t="s">
        <v>53</v>
      </c>
      <c r="B22" s="106">
        <f>SUM(B10:B21)</f>
        <v>355304.18</v>
      </c>
      <c r="C22" s="106">
        <f>SUM(C10:C21)</f>
        <v>355304.18</v>
      </c>
      <c r="D22" s="106">
        <f>SUM(D10:D21)</f>
        <v>10836.96</v>
      </c>
      <c r="E22" s="106">
        <f>SUM(E10:E21)</f>
        <v>28424.169999999995</v>
      </c>
      <c r="F22" s="111"/>
      <c r="G22" s="113"/>
      <c r="H22" s="112">
        <f>SUM(H10:H21)</f>
        <v>12191.639999999998</v>
      </c>
      <c r="I22" s="106">
        <f>SUM(I10:I21)</f>
        <v>304771.32</v>
      </c>
      <c r="J22" s="106" t="e">
        <f>SUM(J10:J21)</f>
        <v>#VALUE!</v>
      </c>
      <c r="K22" s="107">
        <f>SUM(K10:K21)</f>
        <v>274339.02</v>
      </c>
      <c r="L22" s="69"/>
      <c r="M22" s="180">
        <f>SUM(M10:M21)</f>
        <v>304771.32</v>
      </c>
      <c r="N22" s="181">
        <f>SUM(N10:N21)</f>
        <v>0</v>
      </c>
      <c r="O22" s="119" t="e">
        <f>SUM(O10:O21)</f>
        <v>#VALUE!</v>
      </c>
      <c r="P22" s="119">
        <f>SUM(P10:P21)</f>
        <v>6840.2100000000009</v>
      </c>
    </row>
    <row r="24" spans="1:16" x14ac:dyDescent="0.2">
      <c r="A24" s="51"/>
      <c r="B24" s="51"/>
    </row>
    <row r="25" spans="1:16" x14ac:dyDescent="0.2">
      <c r="A25" s="51"/>
      <c r="B25" s="51"/>
    </row>
    <row r="26" spans="1:16" ht="15" x14ac:dyDescent="0.25">
      <c r="A26" s="51"/>
      <c r="B26" s="51"/>
      <c r="H26" s="44"/>
      <c r="I26" s="44"/>
      <c r="J26" s="44"/>
      <c r="K26" s="44"/>
      <c r="L26" s="38"/>
    </row>
    <row r="27" spans="1:16" ht="15" x14ac:dyDescent="0.25">
      <c r="A27" s="51"/>
      <c r="B27" s="51"/>
      <c r="H27" s="44"/>
      <c r="I27" s="33"/>
      <c r="K27" s="43"/>
      <c r="L27" s="45"/>
      <c r="M27" s="46"/>
      <c r="N27" s="46"/>
    </row>
    <row r="28" spans="1:16" ht="15" x14ac:dyDescent="0.25">
      <c r="A28" s="38"/>
      <c r="B28" s="38"/>
      <c r="C28" s="38"/>
      <c r="D28" s="38"/>
      <c r="E28" s="38"/>
      <c r="F28" s="38"/>
      <c r="G28" s="47"/>
      <c r="H28" s="47"/>
      <c r="I28" s="47"/>
      <c r="J28" s="38"/>
      <c r="K28" s="38"/>
    </row>
    <row r="29" spans="1:16" ht="15" x14ac:dyDescent="0.25">
      <c r="A29" s="38"/>
      <c r="B29" s="51"/>
      <c r="E29" s="118"/>
      <c r="F29" s="38"/>
      <c r="G29" s="47"/>
      <c r="H29" s="47"/>
      <c r="I29" s="47"/>
      <c r="J29" s="38"/>
      <c r="K29" s="38"/>
    </row>
    <row r="30" spans="1:16" ht="15" x14ac:dyDescent="0.25">
      <c r="A30" s="38"/>
      <c r="B30" s="38"/>
      <c r="C30" s="38"/>
      <c r="D30" s="38"/>
      <c r="E30" s="38"/>
      <c r="F30" s="38"/>
      <c r="G30" s="47"/>
      <c r="H30" s="47"/>
      <c r="I30" s="47"/>
      <c r="J30" s="38"/>
      <c r="K30" s="38"/>
    </row>
    <row r="31" spans="1:16" ht="15" x14ac:dyDescent="0.25">
      <c r="A31" s="38"/>
      <c r="B31" s="38"/>
      <c r="C31" s="38"/>
      <c r="D31" s="38"/>
      <c r="E31" s="38"/>
      <c r="F31" s="38"/>
      <c r="G31" s="47"/>
      <c r="H31" s="47"/>
      <c r="I31" s="47"/>
      <c r="J31" s="38"/>
      <c r="K31" s="38"/>
    </row>
    <row r="32" spans="1:16" ht="15" x14ac:dyDescent="0.25">
      <c r="A32" s="48"/>
      <c r="B32" s="38"/>
      <c r="C32" s="38"/>
      <c r="D32" s="38"/>
      <c r="E32" s="38"/>
      <c r="F32" s="38"/>
      <c r="G32" s="47"/>
      <c r="H32" s="47"/>
      <c r="I32" s="47"/>
      <c r="J32" s="38"/>
      <c r="K32" s="38"/>
    </row>
    <row r="33" spans="1:11" ht="15" x14ac:dyDescent="0.25">
      <c r="A33" s="38"/>
      <c r="B33" s="38"/>
      <c r="C33" s="38"/>
      <c r="D33" s="38"/>
      <c r="E33" s="38"/>
      <c r="F33" s="38"/>
      <c r="G33" s="47"/>
      <c r="H33" s="47"/>
      <c r="I33" s="47"/>
      <c r="J33" s="38"/>
      <c r="K33" s="38"/>
    </row>
    <row r="34" spans="1:11" ht="15" x14ac:dyDescent="0.25">
      <c r="A34" s="38"/>
      <c r="B34" s="38"/>
      <c r="C34" s="38"/>
      <c r="D34" s="38"/>
      <c r="E34" s="38"/>
      <c r="F34" s="38"/>
      <c r="G34" s="47"/>
      <c r="H34" s="47"/>
      <c r="I34" s="47"/>
      <c r="J34" s="38"/>
      <c r="K34" s="38"/>
    </row>
    <row r="35" spans="1:11" ht="15" x14ac:dyDescent="0.25">
      <c r="A35" s="38"/>
      <c r="B35" s="38"/>
      <c r="C35" s="38"/>
      <c r="D35" s="38"/>
      <c r="E35" s="38"/>
      <c r="F35" s="38"/>
      <c r="G35" s="47"/>
      <c r="H35" s="47"/>
      <c r="I35" s="47"/>
      <c r="J35" s="38"/>
      <c r="K35" s="38"/>
    </row>
    <row r="36" spans="1:11" ht="15" x14ac:dyDescent="0.25">
      <c r="A36" s="38"/>
      <c r="B36" s="38"/>
      <c r="C36" s="38"/>
      <c r="D36" s="38"/>
      <c r="E36" s="38"/>
      <c r="F36" s="38"/>
      <c r="G36" s="47"/>
      <c r="H36" s="47"/>
      <c r="I36" s="47"/>
      <c r="J36" s="38"/>
      <c r="K36" s="38"/>
    </row>
    <row r="37" spans="1:11" ht="15" x14ac:dyDescent="0.25">
      <c r="A37" s="38"/>
      <c r="B37" s="38"/>
      <c r="C37" s="38"/>
      <c r="D37" s="38"/>
      <c r="E37" s="38"/>
      <c r="F37" s="38"/>
      <c r="G37" s="47"/>
      <c r="H37" s="47"/>
      <c r="I37" s="47"/>
      <c r="J37" s="38"/>
      <c r="K37" s="38"/>
    </row>
    <row r="38" spans="1:11" ht="15" x14ac:dyDescent="0.25">
      <c r="A38" s="38"/>
      <c r="B38" s="38"/>
      <c r="C38" s="38"/>
      <c r="D38" s="38"/>
      <c r="E38" s="38"/>
      <c r="F38" s="38"/>
      <c r="G38" s="47"/>
      <c r="H38" s="47"/>
      <c r="I38" s="47"/>
      <c r="J38" s="38"/>
      <c r="K38" s="38"/>
    </row>
    <row r="39" spans="1:11" ht="15" x14ac:dyDescent="0.25">
      <c r="A39" s="38"/>
      <c r="B39" s="38"/>
      <c r="C39" s="38"/>
      <c r="D39" s="38"/>
      <c r="E39" s="38"/>
      <c r="F39" s="38"/>
      <c r="G39" s="47"/>
      <c r="H39" s="47"/>
      <c r="I39" s="47"/>
      <c r="J39" s="38"/>
      <c r="K39" s="38"/>
    </row>
    <row r="40" spans="1:11" ht="15" x14ac:dyDescent="0.25">
      <c r="A40" s="25"/>
      <c r="B40" s="25"/>
      <c r="C40" s="25"/>
      <c r="D40" s="25"/>
      <c r="E40" s="25"/>
      <c r="F40" s="25"/>
      <c r="G40" s="24"/>
      <c r="H40" s="24"/>
      <c r="I40" s="24"/>
      <c r="J40" s="25"/>
      <c r="K40" s="25"/>
    </row>
  </sheetData>
  <sheetProtection selectLockedCells="1" selectUnlockedCells="1"/>
  <mergeCells count="22">
    <mergeCell ref="M10:N10"/>
    <mergeCell ref="B2:B3"/>
    <mergeCell ref="D2:D3"/>
    <mergeCell ref="F2:I3"/>
    <mergeCell ref="M8:P8"/>
    <mergeCell ref="M9:N9"/>
    <mergeCell ref="A4:C4"/>
    <mergeCell ref="A5:C5"/>
    <mergeCell ref="A6:C6"/>
    <mergeCell ref="A7:C7"/>
    <mergeCell ref="M22:N22"/>
    <mergeCell ref="M11:N11"/>
    <mergeCell ref="M12:N12"/>
    <mergeCell ref="M13:N13"/>
    <mergeCell ref="M14:N14"/>
    <mergeCell ref="M15:N15"/>
    <mergeCell ref="M16:N16"/>
    <mergeCell ref="M17:N17"/>
    <mergeCell ref="M18:N18"/>
    <mergeCell ref="M19:N19"/>
    <mergeCell ref="M20:N20"/>
    <mergeCell ref="M21:N21"/>
  </mergeCells>
  <pageMargins left="0" right="0" top="1.0629921259842521" bottom="0" header="0.78740157480314965" footer="0"/>
  <pageSetup paperSize="9" scale="85" firstPageNumber="0" orientation="landscape" horizontalDpi="300" verticalDpi="300" r:id="rId1"/>
  <headerFooter alignWithMargins="0">
    <oddHeader>&amp;C&amp;"Times New Roman,Normal"&amp;12&amp;A</oddHeader>
    <oddFooter>&amp;C&amp;"Times New Roman,Normal"&amp;12Page &amp;P</oddFooter>
  </headerFooter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A761BC-0CF4-48F8-8840-EA0763C92727}">
  <dimension ref="A2:IU39"/>
  <sheetViews>
    <sheetView workbookViewId="0">
      <selection activeCell="D4" sqref="D4"/>
    </sheetView>
  </sheetViews>
  <sheetFormatPr defaultColWidth="11.5703125" defaultRowHeight="14.25" x14ac:dyDescent="0.2"/>
  <cols>
    <col min="1" max="1" width="13.5703125" style="51" customWidth="1"/>
    <col min="2" max="11" width="18.5703125" style="133" customWidth="1"/>
    <col min="12" max="12" width="1.42578125" style="51" customWidth="1"/>
    <col min="13" max="13" width="10.7109375" style="51" customWidth="1"/>
    <col min="14" max="14" width="8.42578125" style="51" customWidth="1"/>
    <col min="15" max="15" width="6.7109375" style="51" customWidth="1"/>
    <col min="16" max="255" width="10.7109375" style="51" customWidth="1"/>
    <col min="256" max="256" width="11.5703125" style="68"/>
    <col min="257" max="257" width="13.5703125" style="68" customWidth="1"/>
    <col min="258" max="259" width="17.85546875" style="68" customWidth="1"/>
    <col min="260" max="260" width="15.5703125" style="68" customWidth="1"/>
    <col min="261" max="261" width="17.28515625" style="68" customWidth="1"/>
    <col min="262" max="262" width="1.42578125" style="68" customWidth="1"/>
    <col min="263" max="263" width="9.140625" style="68" customWidth="1"/>
    <col min="264" max="264" width="10.42578125" style="68" customWidth="1"/>
    <col min="265" max="265" width="16" style="68" customWidth="1"/>
    <col min="266" max="266" width="9" style="68" customWidth="1"/>
    <col min="267" max="267" width="14.28515625" style="68" customWidth="1"/>
    <col min="268" max="268" width="1.42578125" style="68" customWidth="1"/>
    <col min="269" max="269" width="10.7109375" style="68" customWidth="1"/>
    <col min="270" max="270" width="8.42578125" style="68" customWidth="1"/>
    <col min="271" max="271" width="6.7109375" style="68" customWidth="1"/>
    <col min="272" max="511" width="10.7109375" style="68" customWidth="1"/>
    <col min="512" max="512" width="11.5703125" style="68"/>
    <col min="513" max="513" width="13.5703125" style="68" customWidth="1"/>
    <col min="514" max="515" width="17.85546875" style="68" customWidth="1"/>
    <col min="516" max="516" width="15.5703125" style="68" customWidth="1"/>
    <col min="517" max="517" width="17.28515625" style="68" customWidth="1"/>
    <col min="518" max="518" width="1.42578125" style="68" customWidth="1"/>
    <col min="519" max="519" width="9.140625" style="68" customWidth="1"/>
    <col min="520" max="520" width="10.42578125" style="68" customWidth="1"/>
    <col min="521" max="521" width="16" style="68" customWidth="1"/>
    <col min="522" max="522" width="9" style="68" customWidth="1"/>
    <col min="523" max="523" width="14.28515625" style="68" customWidth="1"/>
    <col min="524" max="524" width="1.42578125" style="68" customWidth="1"/>
    <col min="525" max="525" width="10.7109375" style="68" customWidth="1"/>
    <col min="526" max="526" width="8.42578125" style="68" customWidth="1"/>
    <col min="527" max="527" width="6.7109375" style="68" customWidth="1"/>
    <col min="528" max="767" width="10.7109375" style="68" customWidth="1"/>
    <col min="768" max="768" width="11.5703125" style="68"/>
    <col min="769" max="769" width="13.5703125" style="68" customWidth="1"/>
    <col min="770" max="771" width="17.85546875" style="68" customWidth="1"/>
    <col min="772" max="772" width="15.5703125" style="68" customWidth="1"/>
    <col min="773" max="773" width="17.28515625" style="68" customWidth="1"/>
    <col min="774" max="774" width="1.42578125" style="68" customWidth="1"/>
    <col min="775" max="775" width="9.140625" style="68" customWidth="1"/>
    <col min="776" max="776" width="10.42578125" style="68" customWidth="1"/>
    <col min="777" max="777" width="16" style="68" customWidth="1"/>
    <col min="778" max="778" width="9" style="68" customWidth="1"/>
    <col min="779" max="779" width="14.28515625" style="68" customWidth="1"/>
    <col min="780" max="780" width="1.42578125" style="68" customWidth="1"/>
    <col min="781" max="781" width="10.7109375" style="68" customWidth="1"/>
    <col min="782" max="782" width="8.42578125" style="68" customWidth="1"/>
    <col min="783" max="783" width="6.7109375" style="68" customWidth="1"/>
    <col min="784" max="1023" width="10.7109375" style="68" customWidth="1"/>
    <col min="1024" max="1024" width="11.5703125" style="68"/>
    <col min="1025" max="1025" width="13.5703125" style="68" customWidth="1"/>
    <col min="1026" max="1027" width="17.85546875" style="68" customWidth="1"/>
    <col min="1028" max="1028" width="15.5703125" style="68" customWidth="1"/>
    <col min="1029" max="1029" width="17.28515625" style="68" customWidth="1"/>
    <col min="1030" max="1030" width="1.42578125" style="68" customWidth="1"/>
    <col min="1031" max="1031" width="9.140625" style="68" customWidth="1"/>
    <col min="1032" max="1032" width="10.42578125" style="68" customWidth="1"/>
    <col min="1033" max="1033" width="16" style="68" customWidth="1"/>
    <col min="1034" max="1034" width="9" style="68" customWidth="1"/>
    <col min="1035" max="1035" width="14.28515625" style="68" customWidth="1"/>
    <col min="1036" max="1036" width="1.42578125" style="68" customWidth="1"/>
    <col min="1037" max="1037" width="10.7109375" style="68" customWidth="1"/>
    <col min="1038" max="1038" width="8.42578125" style="68" customWidth="1"/>
    <col min="1039" max="1039" width="6.7109375" style="68" customWidth="1"/>
    <col min="1040" max="1279" width="10.7109375" style="68" customWidth="1"/>
    <col min="1280" max="1280" width="11.5703125" style="68"/>
    <col min="1281" max="1281" width="13.5703125" style="68" customWidth="1"/>
    <col min="1282" max="1283" width="17.85546875" style="68" customWidth="1"/>
    <col min="1284" max="1284" width="15.5703125" style="68" customWidth="1"/>
    <col min="1285" max="1285" width="17.28515625" style="68" customWidth="1"/>
    <col min="1286" max="1286" width="1.42578125" style="68" customWidth="1"/>
    <col min="1287" max="1287" width="9.140625" style="68" customWidth="1"/>
    <col min="1288" max="1288" width="10.42578125" style="68" customWidth="1"/>
    <col min="1289" max="1289" width="16" style="68" customWidth="1"/>
    <col min="1290" max="1290" width="9" style="68" customWidth="1"/>
    <col min="1291" max="1291" width="14.28515625" style="68" customWidth="1"/>
    <col min="1292" max="1292" width="1.42578125" style="68" customWidth="1"/>
    <col min="1293" max="1293" width="10.7109375" style="68" customWidth="1"/>
    <col min="1294" max="1294" width="8.42578125" style="68" customWidth="1"/>
    <col min="1295" max="1295" width="6.7109375" style="68" customWidth="1"/>
    <col min="1296" max="1535" width="10.7109375" style="68" customWidth="1"/>
    <col min="1536" max="1536" width="11.5703125" style="68"/>
    <col min="1537" max="1537" width="13.5703125" style="68" customWidth="1"/>
    <col min="1538" max="1539" width="17.85546875" style="68" customWidth="1"/>
    <col min="1540" max="1540" width="15.5703125" style="68" customWidth="1"/>
    <col min="1541" max="1541" width="17.28515625" style="68" customWidth="1"/>
    <col min="1542" max="1542" width="1.42578125" style="68" customWidth="1"/>
    <col min="1543" max="1543" width="9.140625" style="68" customWidth="1"/>
    <col min="1544" max="1544" width="10.42578125" style="68" customWidth="1"/>
    <col min="1545" max="1545" width="16" style="68" customWidth="1"/>
    <col min="1546" max="1546" width="9" style="68" customWidth="1"/>
    <col min="1547" max="1547" width="14.28515625" style="68" customWidth="1"/>
    <col min="1548" max="1548" width="1.42578125" style="68" customWidth="1"/>
    <col min="1549" max="1549" width="10.7109375" style="68" customWidth="1"/>
    <col min="1550" max="1550" width="8.42578125" style="68" customWidth="1"/>
    <col min="1551" max="1551" width="6.7109375" style="68" customWidth="1"/>
    <col min="1552" max="1791" width="10.7109375" style="68" customWidth="1"/>
    <col min="1792" max="1792" width="11.5703125" style="68"/>
    <col min="1793" max="1793" width="13.5703125" style="68" customWidth="1"/>
    <col min="1794" max="1795" width="17.85546875" style="68" customWidth="1"/>
    <col min="1796" max="1796" width="15.5703125" style="68" customWidth="1"/>
    <col min="1797" max="1797" width="17.28515625" style="68" customWidth="1"/>
    <col min="1798" max="1798" width="1.42578125" style="68" customWidth="1"/>
    <col min="1799" max="1799" width="9.140625" style="68" customWidth="1"/>
    <col min="1800" max="1800" width="10.42578125" style="68" customWidth="1"/>
    <col min="1801" max="1801" width="16" style="68" customWidth="1"/>
    <col min="1802" max="1802" width="9" style="68" customWidth="1"/>
    <col min="1803" max="1803" width="14.28515625" style="68" customWidth="1"/>
    <col min="1804" max="1804" width="1.42578125" style="68" customWidth="1"/>
    <col min="1805" max="1805" width="10.7109375" style="68" customWidth="1"/>
    <col min="1806" max="1806" width="8.42578125" style="68" customWidth="1"/>
    <col min="1807" max="1807" width="6.7109375" style="68" customWidth="1"/>
    <col min="1808" max="2047" width="10.7109375" style="68" customWidth="1"/>
    <col min="2048" max="2048" width="11.5703125" style="68"/>
    <col min="2049" max="2049" width="13.5703125" style="68" customWidth="1"/>
    <col min="2050" max="2051" width="17.85546875" style="68" customWidth="1"/>
    <col min="2052" max="2052" width="15.5703125" style="68" customWidth="1"/>
    <col min="2053" max="2053" width="17.28515625" style="68" customWidth="1"/>
    <col min="2054" max="2054" width="1.42578125" style="68" customWidth="1"/>
    <col min="2055" max="2055" width="9.140625" style="68" customWidth="1"/>
    <col min="2056" max="2056" width="10.42578125" style="68" customWidth="1"/>
    <col min="2057" max="2057" width="16" style="68" customWidth="1"/>
    <col min="2058" max="2058" width="9" style="68" customWidth="1"/>
    <col min="2059" max="2059" width="14.28515625" style="68" customWidth="1"/>
    <col min="2060" max="2060" width="1.42578125" style="68" customWidth="1"/>
    <col min="2061" max="2061" width="10.7109375" style="68" customWidth="1"/>
    <col min="2062" max="2062" width="8.42578125" style="68" customWidth="1"/>
    <col min="2063" max="2063" width="6.7109375" style="68" customWidth="1"/>
    <col min="2064" max="2303" width="10.7109375" style="68" customWidth="1"/>
    <col min="2304" max="2304" width="11.5703125" style="68"/>
    <col min="2305" max="2305" width="13.5703125" style="68" customWidth="1"/>
    <col min="2306" max="2307" width="17.85546875" style="68" customWidth="1"/>
    <col min="2308" max="2308" width="15.5703125" style="68" customWidth="1"/>
    <col min="2309" max="2309" width="17.28515625" style="68" customWidth="1"/>
    <col min="2310" max="2310" width="1.42578125" style="68" customWidth="1"/>
    <col min="2311" max="2311" width="9.140625" style="68" customWidth="1"/>
    <col min="2312" max="2312" width="10.42578125" style="68" customWidth="1"/>
    <col min="2313" max="2313" width="16" style="68" customWidth="1"/>
    <col min="2314" max="2314" width="9" style="68" customWidth="1"/>
    <col min="2315" max="2315" width="14.28515625" style="68" customWidth="1"/>
    <col min="2316" max="2316" width="1.42578125" style="68" customWidth="1"/>
    <col min="2317" max="2317" width="10.7109375" style="68" customWidth="1"/>
    <col min="2318" max="2318" width="8.42578125" style="68" customWidth="1"/>
    <col min="2319" max="2319" width="6.7109375" style="68" customWidth="1"/>
    <col min="2320" max="2559" width="10.7109375" style="68" customWidth="1"/>
    <col min="2560" max="2560" width="11.5703125" style="68"/>
    <col min="2561" max="2561" width="13.5703125" style="68" customWidth="1"/>
    <col min="2562" max="2563" width="17.85546875" style="68" customWidth="1"/>
    <col min="2564" max="2564" width="15.5703125" style="68" customWidth="1"/>
    <col min="2565" max="2565" width="17.28515625" style="68" customWidth="1"/>
    <col min="2566" max="2566" width="1.42578125" style="68" customWidth="1"/>
    <col min="2567" max="2567" width="9.140625" style="68" customWidth="1"/>
    <col min="2568" max="2568" width="10.42578125" style="68" customWidth="1"/>
    <col min="2569" max="2569" width="16" style="68" customWidth="1"/>
    <col min="2570" max="2570" width="9" style="68" customWidth="1"/>
    <col min="2571" max="2571" width="14.28515625" style="68" customWidth="1"/>
    <col min="2572" max="2572" width="1.42578125" style="68" customWidth="1"/>
    <col min="2573" max="2573" width="10.7109375" style="68" customWidth="1"/>
    <col min="2574" max="2574" width="8.42578125" style="68" customWidth="1"/>
    <col min="2575" max="2575" width="6.7109375" style="68" customWidth="1"/>
    <col min="2576" max="2815" width="10.7109375" style="68" customWidth="1"/>
    <col min="2816" max="2816" width="11.5703125" style="68"/>
    <col min="2817" max="2817" width="13.5703125" style="68" customWidth="1"/>
    <col min="2818" max="2819" width="17.85546875" style="68" customWidth="1"/>
    <col min="2820" max="2820" width="15.5703125" style="68" customWidth="1"/>
    <col min="2821" max="2821" width="17.28515625" style="68" customWidth="1"/>
    <col min="2822" max="2822" width="1.42578125" style="68" customWidth="1"/>
    <col min="2823" max="2823" width="9.140625" style="68" customWidth="1"/>
    <col min="2824" max="2824" width="10.42578125" style="68" customWidth="1"/>
    <col min="2825" max="2825" width="16" style="68" customWidth="1"/>
    <col min="2826" max="2826" width="9" style="68" customWidth="1"/>
    <col min="2827" max="2827" width="14.28515625" style="68" customWidth="1"/>
    <col min="2828" max="2828" width="1.42578125" style="68" customWidth="1"/>
    <col min="2829" max="2829" width="10.7109375" style="68" customWidth="1"/>
    <col min="2830" max="2830" width="8.42578125" style="68" customWidth="1"/>
    <col min="2831" max="2831" width="6.7109375" style="68" customWidth="1"/>
    <col min="2832" max="3071" width="10.7109375" style="68" customWidth="1"/>
    <col min="3072" max="3072" width="11.5703125" style="68"/>
    <col min="3073" max="3073" width="13.5703125" style="68" customWidth="1"/>
    <col min="3074" max="3075" width="17.85546875" style="68" customWidth="1"/>
    <col min="3076" max="3076" width="15.5703125" style="68" customWidth="1"/>
    <col min="3077" max="3077" width="17.28515625" style="68" customWidth="1"/>
    <col min="3078" max="3078" width="1.42578125" style="68" customWidth="1"/>
    <col min="3079" max="3079" width="9.140625" style="68" customWidth="1"/>
    <col min="3080" max="3080" width="10.42578125" style="68" customWidth="1"/>
    <col min="3081" max="3081" width="16" style="68" customWidth="1"/>
    <col min="3082" max="3082" width="9" style="68" customWidth="1"/>
    <col min="3083" max="3083" width="14.28515625" style="68" customWidth="1"/>
    <col min="3084" max="3084" width="1.42578125" style="68" customWidth="1"/>
    <col min="3085" max="3085" width="10.7109375" style="68" customWidth="1"/>
    <col min="3086" max="3086" width="8.42578125" style="68" customWidth="1"/>
    <col min="3087" max="3087" width="6.7109375" style="68" customWidth="1"/>
    <col min="3088" max="3327" width="10.7109375" style="68" customWidth="1"/>
    <col min="3328" max="3328" width="11.5703125" style="68"/>
    <col min="3329" max="3329" width="13.5703125" style="68" customWidth="1"/>
    <col min="3330" max="3331" width="17.85546875" style="68" customWidth="1"/>
    <col min="3332" max="3332" width="15.5703125" style="68" customWidth="1"/>
    <col min="3333" max="3333" width="17.28515625" style="68" customWidth="1"/>
    <col min="3334" max="3334" width="1.42578125" style="68" customWidth="1"/>
    <col min="3335" max="3335" width="9.140625" style="68" customWidth="1"/>
    <col min="3336" max="3336" width="10.42578125" style="68" customWidth="1"/>
    <col min="3337" max="3337" width="16" style="68" customWidth="1"/>
    <col min="3338" max="3338" width="9" style="68" customWidth="1"/>
    <col min="3339" max="3339" width="14.28515625" style="68" customWidth="1"/>
    <col min="3340" max="3340" width="1.42578125" style="68" customWidth="1"/>
    <col min="3341" max="3341" width="10.7109375" style="68" customWidth="1"/>
    <col min="3342" max="3342" width="8.42578125" style="68" customWidth="1"/>
    <col min="3343" max="3343" width="6.7109375" style="68" customWidth="1"/>
    <col min="3344" max="3583" width="10.7109375" style="68" customWidth="1"/>
    <col min="3584" max="3584" width="11.5703125" style="68"/>
    <col min="3585" max="3585" width="13.5703125" style="68" customWidth="1"/>
    <col min="3586" max="3587" width="17.85546875" style="68" customWidth="1"/>
    <col min="3588" max="3588" width="15.5703125" style="68" customWidth="1"/>
    <col min="3589" max="3589" width="17.28515625" style="68" customWidth="1"/>
    <col min="3590" max="3590" width="1.42578125" style="68" customWidth="1"/>
    <col min="3591" max="3591" width="9.140625" style="68" customWidth="1"/>
    <col min="3592" max="3592" width="10.42578125" style="68" customWidth="1"/>
    <col min="3593" max="3593" width="16" style="68" customWidth="1"/>
    <col min="3594" max="3594" width="9" style="68" customWidth="1"/>
    <col min="3595" max="3595" width="14.28515625" style="68" customWidth="1"/>
    <col min="3596" max="3596" width="1.42578125" style="68" customWidth="1"/>
    <col min="3597" max="3597" width="10.7109375" style="68" customWidth="1"/>
    <col min="3598" max="3598" width="8.42578125" style="68" customWidth="1"/>
    <col min="3599" max="3599" width="6.7109375" style="68" customWidth="1"/>
    <col min="3600" max="3839" width="10.7109375" style="68" customWidth="1"/>
    <col min="3840" max="3840" width="11.5703125" style="68"/>
    <col min="3841" max="3841" width="13.5703125" style="68" customWidth="1"/>
    <col min="3842" max="3843" width="17.85546875" style="68" customWidth="1"/>
    <col min="3844" max="3844" width="15.5703125" style="68" customWidth="1"/>
    <col min="3845" max="3845" width="17.28515625" style="68" customWidth="1"/>
    <col min="3846" max="3846" width="1.42578125" style="68" customWidth="1"/>
    <col min="3847" max="3847" width="9.140625" style="68" customWidth="1"/>
    <col min="3848" max="3848" width="10.42578125" style="68" customWidth="1"/>
    <col min="3849" max="3849" width="16" style="68" customWidth="1"/>
    <col min="3850" max="3850" width="9" style="68" customWidth="1"/>
    <col min="3851" max="3851" width="14.28515625" style="68" customWidth="1"/>
    <col min="3852" max="3852" width="1.42578125" style="68" customWidth="1"/>
    <col min="3853" max="3853" width="10.7109375" style="68" customWidth="1"/>
    <col min="3854" max="3854" width="8.42578125" style="68" customWidth="1"/>
    <col min="3855" max="3855" width="6.7109375" style="68" customWidth="1"/>
    <col min="3856" max="4095" width="10.7109375" style="68" customWidth="1"/>
    <col min="4096" max="4096" width="11.5703125" style="68"/>
    <col min="4097" max="4097" width="13.5703125" style="68" customWidth="1"/>
    <col min="4098" max="4099" width="17.85546875" style="68" customWidth="1"/>
    <col min="4100" max="4100" width="15.5703125" style="68" customWidth="1"/>
    <col min="4101" max="4101" width="17.28515625" style="68" customWidth="1"/>
    <col min="4102" max="4102" width="1.42578125" style="68" customWidth="1"/>
    <col min="4103" max="4103" width="9.140625" style="68" customWidth="1"/>
    <col min="4104" max="4104" width="10.42578125" style="68" customWidth="1"/>
    <col min="4105" max="4105" width="16" style="68" customWidth="1"/>
    <col min="4106" max="4106" width="9" style="68" customWidth="1"/>
    <col min="4107" max="4107" width="14.28515625" style="68" customWidth="1"/>
    <col min="4108" max="4108" width="1.42578125" style="68" customWidth="1"/>
    <col min="4109" max="4109" width="10.7109375" style="68" customWidth="1"/>
    <col min="4110" max="4110" width="8.42578125" style="68" customWidth="1"/>
    <col min="4111" max="4111" width="6.7109375" style="68" customWidth="1"/>
    <col min="4112" max="4351" width="10.7109375" style="68" customWidth="1"/>
    <col min="4352" max="4352" width="11.5703125" style="68"/>
    <col min="4353" max="4353" width="13.5703125" style="68" customWidth="1"/>
    <col min="4354" max="4355" width="17.85546875" style="68" customWidth="1"/>
    <col min="4356" max="4356" width="15.5703125" style="68" customWidth="1"/>
    <col min="4357" max="4357" width="17.28515625" style="68" customWidth="1"/>
    <col min="4358" max="4358" width="1.42578125" style="68" customWidth="1"/>
    <col min="4359" max="4359" width="9.140625" style="68" customWidth="1"/>
    <col min="4360" max="4360" width="10.42578125" style="68" customWidth="1"/>
    <col min="4361" max="4361" width="16" style="68" customWidth="1"/>
    <col min="4362" max="4362" width="9" style="68" customWidth="1"/>
    <col min="4363" max="4363" width="14.28515625" style="68" customWidth="1"/>
    <col min="4364" max="4364" width="1.42578125" style="68" customWidth="1"/>
    <col min="4365" max="4365" width="10.7109375" style="68" customWidth="1"/>
    <col min="4366" max="4366" width="8.42578125" style="68" customWidth="1"/>
    <col min="4367" max="4367" width="6.7109375" style="68" customWidth="1"/>
    <col min="4368" max="4607" width="10.7109375" style="68" customWidth="1"/>
    <col min="4608" max="4608" width="11.5703125" style="68"/>
    <col min="4609" max="4609" width="13.5703125" style="68" customWidth="1"/>
    <col min="4610" max="4611" width="17.85546875" style="68" customWidth="1"/>
    <col min="4612" max="4612" width="15.5703125" style="68" customWidth="1"/>
    <col min="4613" max="4613" width="17.28515625" style="68" customWidth="1"/>
    <col min="4614" max="4614" width="1.42578125" style="68" customWidth="1"/>
    <col min="4615" max="4615" width="9.140625" style="68" customWidth="1"/>
    <col min="4616" max="4616" width="10.42578125" style="68" customWidth="1"/>
    <col min="4617" max="4617" width="16" style="68" customWidth="1"/>
    <col min="4618" max="4618" width="9" style="68" customWidth="1"/>
    <col min="4619" max="4619" width="14.28515625" style="68" customWidth="1"/>
    <col min="4620" max="4620" width="1.42578125" style="68" customWidth="1"/>
    <col min="4621" max="4621" width="10.7109375" style="68" customWidth="1"/>
    <col min="4622" max="4622" width="8.42578125" style="68" customWidth="1"/>
    <col min="4623" max="4623" width="6.7109375" style="68" customWidth="1"/>
    <col min="4624" max="4863" width="10.7109375" style="68" customWidth="1"/>
    <col min="4864" max="4864" width="11.5703125" style="68"/>
    <col min="4865" max="4865" width="13.5703125" style="68" customWidth="1"/>
    <col min="4866" max="4867" width="17.85546875" style="68" customWidth="1"/>
    <col min="4868" max="4868" width="15.5703125" style="68" customWidth="1"/>
    <col min="4869" max="4869" width="17.28515625" style="68" customWidth="1"/>
    <col min="4870" max="4870" width="1.42578125" style="68" customWidth="1"/>
    <col min="4871" max="4871" width="9.140625" style="68" customWidth="1"/>
    <col min="4872" max="4872" width="10.42578125" style="68" customWidth="1"/>
    <col min="4873" max="4873" width="16" style="68" customWidth="1"/>
    <col min="4874" max="4874" width="9" style="68" customWidth="1"/>
    <col min="4875" max="4875" width="14.28515625" style="68" customWidth="1"/>
    <col min="4876" max="4876" width="1.42578125" style="68" customWidth="1"/>
    <col min="4877" max="4877" width="10.7109375" style="68" customWidth="1"/>
    <col min="4878" max="4878" width="8.42578125" style="68" customWidth="1"/>
    <col min="4879" max="4879" width="6.7109375" style="68" customWidth="1"/>
    <col min="4880" max="5119" width="10.7109375" style="68" customWidth="1"/>
    <col min="5120" max="5120" width="11.5703125" style="68"/>
    <col min="5121" max="5121" width="13.5703125" style="68" customWidth="1"/>
    <col min="5122" max="5123" width="17.85546875" style="68" customWidth="1"/>
    <col min="5124" max="5124" width="15.5703125" style="68" customWidth="1"/>
    <col min="5125" max="5125" width="17.28515625" style="68" customWidth="1"/>
    <col min="5126" max="5126" width="1.42578125" style="68" customWidth="1"/>
    <col min="5127" max="5127" width="9.140625" style="68" customWidth="1"/>
    <col min="5128" max="5128" width="10.42578125" style="68" customWidth="1"/>
    <col min="5129" max="5129" width="16" style="68" customWidth="1"/>
    <col min="5130" max="5130" width="9" style="68" customWidth="1"/>
    <col min="5131" max="5131" width="14.28515625" style="68" customWidth="1"/>
    <col min="5132" max="5132" width="1.42578125" style="68" customWidth="1"/>
    <col min="5133" max="5133" width="10.7109375" style="68" customWidth="1"/>
    <col min="5134" max="5134" width="8.42578125" style="68" customWidth="1"/>
    <col min="5135" max="5135" width="6.7109375" style="68" customWidth="1"/>
    <col min="5136" max="5375" width="10.7109375" style="68" customWidth="1"/>
    <col min="5376" max="5376" width="11.5703125" style="68"/>
    <col min="5377" max="5377" width="13.5703125" style="68" customWidth="1"/>
    <col min="5378" max="5379" width="17.85546875" style="68" customWidth="1"/>
    <col min="5380" max="5380" width="15.5703125" style="68" customWidth="1"/>
    <col min="5381" max="5381" width="17.28515625" style="68" customWidth="1"/>
    <col min="5382" max="5382" width="1.42578125" style="68" customWidth="1"/>
    <col min="5383" max="5383" width="9.140625" style="68" customWidth="1"/>
    <col min="5384" max="5384" width="10.42578125" style="68" customWidth="1"/>
    <col min="5385" max="5385" width="16" style="68" customWidth="1"/>
    <col min="5386" max="5386" width="9" style="68" customWidth="1"/>
    <col min="5387" max="5387" width="14.28515625" style="68" customWidth="1"/>
    <col min="5388" max="5388" width="1.42578125" style="68" customWidth="1"/>
    <col min="5389" max="5389" width="10.7109375" style="68" customWidth="1"/>
    <col min="5390" max="5390" width="8.42578125" style="68" customWidth="1"/>
    <col min="5391" max="5391" width="6.7109375" style="68" customWidth="1"/>
    <col min="5392" max="5631" width="10.7109375" style="68" customWidth="1"/>
    <col min="5632" max="5632" width="11.5703125" style="68"/>
    <col min="5633" max="5633" width="13.5703125" style="68" customWidth="1"/>
    <col min="5634" max="5635" width="17.85546875" style="68" customWidth="1"/>
    <col min="5636" max="5636" width="15.5703125" style="68" customWidth="1"/>
    <col min="5637" max="5637" width="17.28515625" style="68" customWidth="1"/>
    <col min="5638" max="5638" width="1.42578125" style="68" customWidth="1"/>
    <col min="5639" max="5639" width="9.140625" style="68" customWidth="1"/>
    <col min="5640" max="5640" width="10.42578125" style="68" customWidth="1"/>
    <col min="5641" max="5641" width="16" style="68" customWidth="1"/>
    <col min="5642" max="5642" width="9" style="68" customWidth="1"/>
    <col min="5643" max="5643" width="14.28515625" style="68" customWidth="1"/>
    <col min="5644" max="5644" width="1.42578125" style="68" customWidth="1"/>
    <col min="5645" max="5645" width="10.7109375" style="68" customWidth="1"/>
    <col min="5646" max="5646" width="8.42578125" style="68" customWidth="1"/>
    <col min="5647" max="5647" width="6.7109375" style="68" customWidth="1"/>
    <col min="5648" max="5887" width="10.7109375" style="68" customWidth="1"/>
    <col min="5888" max="5888" width="11.5703125" style="68"/>
    <col min="5889" max="5889" width="13.5703125" style="68" customWidth="1"/>
    <col min="5890" max="5891" width="17.85546875" style="68" customWidth="1"/>
    <col min="5892" max="5892" width="15.5703125" style="68" customWidth="1"/>
    <col min="5893" max="5893" width="17.28515625" style="68" customWidth="1"/>
    <col min="5894" max="5894" width="1.42578125" style="68" customWidth="1"/>
    <col min="5895" max="5895" width="9.140625" style="68" customWidth="1"/>
    <col min="5896" max="5896" width="10.42578125" style="68" customWidth="1"/>
    <col min="5897" max="5897" width="16" style="68" customWidth="1"/>
    <col min="5898" max="5898" width="9" style="68" customWidth="1"/>
    <col min="5899" max="5899" width="14.28515625" style="68" customWidth="1"/>
    <col min="5900" max="5900" width="1.42578125" style="68" customWidth="1"/>
    <col min="5901" max="5901" width="10.7109375" style="68" customWidth="1"/>
    <col min="5902" max="5902" width="8.42578125" style="68" customWidth="1"/>
    <col min="5903" max="5903" width="6.7109375" style="68" customWidth="1"/>
    <col min="5904" max="6143" width="10.7109375" style="68" customWidth="1"/>
    <col min="6144" max="6144" width="11.5703125" style="68"/>
    <col min="6145" max="6145" width="13.5703125" style="68" customWidth="1"/>
    <col min="6146" max="6147" width="17.85546875" style="68" customWidth="1"/>
    <col min="6148" max="6148" width="15.5703125" style="68" customWidth="1"/>
    <col min="6149" max="6149" width="17.28515625" style="68" customWidth="1"/>
    <col min="6150" max="6150" width="1.42578125" style="68" customWidth="1"/>
    <col min="6151" max="6151" width="9.140625" style="68" customWidth="1"/>
    <col min="6152" max="6152" width="10.42578125" style="68" customWidth="1"/>
    <col min="6153" max="6153" width="16" style="68" customWidth="1"/>
    <col min="6154" max="6154" width="9" style="68" customWidth="1"/>
    <col min="6155" max="6155" width="14.28515625" style="68" customWidth="1"/>
    <col min="6156" max="6156" width="1.42578125" style="68" customWidth="1"/>
    <col min="6157" max="6157" width="10.7109375" style="68" customWidth="1"/>
    <col min="6158" max="6158" width="8.42578125" style="68" customWidth="1"/>
    <col min="6159" max="6159" width="6.7109375" style="68" customWidth="1"/>
    <col min="6160" max="6399" width="10.7109375" style="68" customWidth="1"/>
    <col min="6400" max="6400" width="11.5703125" style="68"/>
    <col min="6401" max="6401" width="13.5703125" style="68" customWidth="1"/>
    <col min="6402" max="6403" width="17.85546875" style="68" customWidth="1"/>
    <col min="6404" max="6404" width="15.5703125" style="68" customWidth="1"/>
    <col min="6405" max="6405" width="17.28515625" style="68" customWidth="1"/>
    <col min="6406" max="6406" width="1.42578125" style="68" customWidth="1"/>
    <col min="6407" max="6407" width="9.140625" style="68" customWidth="1"/>
    <col min="6408" max="6408" width="10.42578125" style="68" customWidth="1"/>
    <col min="6409" max="6409" width="16" style="68" customWidth="1"/>
    <col min="6410" max="6410" width="9" style="68" customWidth="1"/>
    <col min="6411" max="6411" width="14.28515625" style="68" customWidth="1"/>
    <col min="6412" max="6412" width="1.42578125" style="68" customWidth="1"/>
    <col min="6413" max="6413" width="10.7109375" style="68" customWidth="1"/>
    <col min="6414" max="6414" width="8.42578125" style="68" customWidth="1"/>
    <col min="6415" max="6415" width="6.7109375" style="68" customWidth="1"/>
    <col min="6416" max="6655" width="10.7109375" style="68" customWidth="1"/>
    <col min="6656" max="6656" width="11.5703125" style="68"/>
    <col min="6657" max="6657" width="13.5703125" style="68" customWidth="1"/>
    <col min="6658" max="6659" width="17.85546875" style="68" customWidth="1"/>
    <col min="6660" max="6660" width="15.5703125" style="68" customWidth="1"/>
    <col min="6661" max="6661" width="17.28515625" style="68" customWidth="1"/>
    <col min="6662" max="6662" width="1.42578125" style="68" customWidth="1"/>
    <col min="6663" max="6663" width="9.140625" style="68" customWidth="1"/>
    <col min="6664" max="6664" width="10.42578125" style="68" customWidth="1"/>
    <col min="6665" max="6665" width="16" style="68" customWidth="1"/>
    <col min="6666" max="6666" width="9" style="68" customWidth="1"/>
    <col min="6667" max="6667" width="14.28515625" style="68" customWidth="1"/>
    <col min="6668" max="6668" width="1.42578125" style="68" customWidth="1"/>
    <col min="6669" max="6669" width="10.7109375" style="68" customWidth="1"/>
    <col min="6670" max="6670" width="8.42578125" style="68" customWidth="1"/>
    <col min="6671" max="6671" width="6.7109375" style="68" customWidth="1"/>
    <col min="6672" max="6911" width="10.7109375" style="68" customWidth="1"/>
    <col min="6912" max="6912" width="11.5703125" style="68"/>
    <col min="6913" max="6913" width="13.5703125" style="68" customWidth="1"/>
    <col min="6914" max="6915" width="17.85546875" style="68" customWidth="1"/>
    <col min="6916" max="6916" width="15.5703125" style="68" customWidth="1"/>
    <col min="6917" max="6917" width="17.28515625" style="68" customWidth="1"/>
    <col min="6918" max="6918" width="1.42578125" style="68" customWidth="1"/>
    <col min="6919" max="6919" width="9.140625" style="68" customWidth="1"/>
    <col min="6920" max="6920" width="10.42578125" style="68" customWidth="1"/>
    <col min="6921" max="6921" width="16" style="68" customWidth="1"/>
    <col min="6922" max="6922" width="9" style="68" customWidth="1"/>
    <col min="6923" max="6923" width="14.28515625" style="68" customWidth="1"/>
    <col min="6924" max="6924" width="1.42578125" style="68" customWidth="1"/>
    <col min="6925" max="6925" width="10.7109375" style="68" customWidth="1"/>
    <col min="6926" max="6926" width="8.42578125" style="68" customWidth="1"/>
    <col min="6927" max="6927" width="6.7109375" style="68" customWidth="1"/>
    <col min="6928" max="7167" width="10.7109375" style="68" customWidth="1"/>
    <col min="7168" max="7168" width="11.5703125" style="68"/>
    <col min="7169" max="7169" width="13.5703125" style="68" customWidth="1"/>
    <col min="7170" max="7171" width="17.85546875" style="68" customWidth="1"/>
    <col min="7172" max="7172" width="15.5703125" style="68" customWidth="1"/>
    <col min="7173" max="7173" width="17.28515625" style="68" customWidth="1"/>
    <col min="7174" max="7174" width="1.42578125" style="68" customWidth="1"/>
    <col min="7175" max="7175" width="9.140625" style="68" customWidth="1"/>
    <col min="7176" max="7176" width="10.42578125" style="68" customWidth="1"/>
    <col min="7177" max="7177" width="16" style="68" customWidth="1"/>
    <col min="7178" max="7178" width="9" style="68" customWidth="1"/>
    <col min="7179" max="7179" width="14.28515625" style="68" customWidth="1"/>
    <col min="7180" max="7180" width="1.42578125" style="68" customWidth="1"/>
    <col min="7181" max="7181" width="10.7109375" style="68" customWidth="1"/>
    <col min="7182" max="7182" width="8.42578125" style="68" customWidth="1"/>
    <col min="7183" max="7183" width="6.7109375" style="68" customWidth="1"/>
    <col min="7184" max="7423" width="10.7109375" style="68" customWidth="1"/>
    <col min="7424" max="7424" width="11.5703125" style="68"/>
    <col min="7425" max="7425" width="13.5703125" style="68" customWidth="1"/>
    <col min="7426" max="7427" width="17.85546875" style="68" customWidth="1"/>
    <col min="7428" max="7428" width="15.5703125" style="68" customWidth="1"/>
    <col min="7429" max="7429" width="17.28515625" style="68" customWidth="1"/>
    <col min="7430" max="7430" width="1.42578125" style="68" customWidth="1"/>
    <col min="7431" max="7431" width="9.140625" style="68" customWidth="1"/>
    <col min="7432" max="7432" width="10.42578125" style="68" customWidth="1"/>
    <col min="7433" max="7433" width="16" style="68" customWidth="1"/>
    <col min="7434" max="7434" width="9" style="68" customWidth="1"/>
    <col min="7435" max="7435" width="14.28515625" style="68" customWidth="1"/>
    <col min="7436" max="7436" width="1.42578125" style="68" customWidth="1"/>
    <col min="7437" max="7437" width="10.7109375" style="68" customWidth="1"/>
    <col min="7438" max="7438" width="8.42578125" style="68" customWidth="1"/>
    <col min="7439" max="7439" width="6.7109375" style="68" customWidth="1"/>
    <col min="7440" max="7679" width="10.7109375" style="68" customWidth="1"/>
    <col min="7680" max="7680" width="11.5703125" style="68"/>
    <col min="7681" max="7681" width="13.5703125" style="68" customWidth="1"/>
    <col min="7682" max="7683" width="17.85546875" style="68" customWidth="1"/>
    <col min="7684" max="7684" width="15.5703125" style="68" customWidth="1"/>
    <col min="7685" max="7685" width="17.28515625" style="68" customWidth="1"/>
    <col min="7686" max="7686" width="1.42578125" style="68" customWidth="1"/>
    <col min="7687" max="7687" width="9.140625" style="68" customWidth="1"/>
    <col min="7688" max="7688" width="10.42578125" style="68" customWidth="1"/>
    <col min="7689" max="7689" width="16" style="68" customWidth="1"/>
    <col min="7690" max="7690" width="9" style="68" customWidth="1"/>
    <col min="7691" max="7691" width="14.28515625" style="68" customWidth="1"/>
    <col min="7692" max="7692" width="1.42578125" style="68" customWidth="1"/>
    <col min="7693" max="7693" width="10.7109375" style="68" customWidth="1"/>
    <col min="7694" max="7694" width="8.42578125" style="68" customWidth="1"/>
    <col min="7695" max="7695" width="6.7109375" style="68" customWidth="1"/>
    <col min="7696" max="7935" width="10.7109375" style="68" customWidth="1"/>
    <col min="7936" max="7936" width="11.5703125" style="68"/>
    <col min="7937" max="7937" width="13.5703125" style="68" customWidth="1"/>
    <col min="7938" max="7939" width="17.85546875" style="68" customWidth="1"/>
    <col min="7940" max="7940" width="15.5703125" style="68" customWidth="1"/>
    <col min="7941" max="7941" width="17.28515625" style="68" customWidth="1"/>
    <col min="7942" max="7942" width="1.42578125" style="68" customWidth="1"/>
    <col min="7943" max="7943" width="9.140625" style="68" customWidth="1"/>
    <col min="7944" max="7944" width="10.42578125" style="68" customWidth="1"/>
    <col min="7945" max="7945" width="16" style="68" customWidth="1"/>
    <col min="7946" max="7946" width="9" style="68" customWidth="1"/>
    <col min="7947" max="7947" width="14.28515625" style="68" customWidth="1"/>
    <col min="7948" max="7948" width="1.42578125" style="68" customWidth="1"/>
    <col min="7949" max="7949" width="10.7109375" style="68" customWidth="1"/>
    <col min="7950" max="7950" width="8.42578125" style="68" customWidth="1"/>
    <col min="7951" max="7951" width="6.7109375" style="68" customWidth="1"/>
    <col min="7952" max="8191" width="10.7109375" style="68" customWidth="1"/>
    <col min="8192" max="8192" width="11.5703125" style="68"/>
    <col min="8193" max="8193" width="13.5703125" style="68" customWidth="1"/>
    <col min="8194" max="8195" width="17.85546875" style="68" customWidth="1"/>
    <col min="8196" max="8196" width="15.5703125" style="68" customWidth="1"/>
    <col min="8197" max="8197" width="17.28515625" style="68" customWidth="1"/>
    <col min="8198" max="8198" width="1.42578125" style="68" customWidth="1"/>
    <col min="8199" max="8199" width="9.140625" style="68" customWidth="1"/>
    <col min="8200" max="8200" width="10.42578125" style="68" customWidth="1"/>
    <col min="8201" max="8201" width="16" style="68" customWidth="1"/>
    <col min="8202" max="8202" width="9" style="68" customWidth="1"/>
    <col min="8203" max="8203" width="14.28515625" style="68" customWidth="1"/>
    <col min="8204" max="8204" width="1.42578125" style="68" customWidth="1"/>
    <col min="8205" max="8205" width="10.7109375" style="68" customWidth="1"/>
    <col min="8206" max="8206" width="8.42578125" style="68" customWidth="1"/>
    <col min="8207" max="8207" width="6.7109375" style="68" customWidth="1"/>
    <col min="8208" max="8447" width="10.7109375" style="68" customWidth="1"/>
    <col min="8448" max="8448" width="11.5703125" style="68"/>
    <col min="8449" max="8449" width="13.5703125" style="68" customWidth="1"/>
    <col min="8450" max="8451" width="17.85546875" style="68" customWidth="1"/>
    <col min="8452" max="8452" width="15.5703125" style="68" customWidth="1"/>
    <col min="8453" max="8453" width="17.28515625" style="68" customWidth="1"/>
    <col min="8454" max="8454" width="1.42578125" style="68" customWidth="1"/>
    <col min="8455" max="8455" width="9.140625" style="68" customWidth="1"/>
    <col min="8456" max="8456" width="10.42578125" style="68" customWidth="1"/>
    <col min="8457" max="8457" width="16" style="68" customWidth="1"/>
    <col min="8458" max="8458" width="9" style="68" customWidth="1"/>
    <col min="8459" max="8459" width="14.28515625" style="68" customWidth="1"/>
    <col min="8460" max="8460" width="1.42578125" style="68" customWidth="1"/>
    <col min="8461" max="8461" width="10.7109375" style="68" customWidth="1"/>
    <col min="8462" max="8462" width="8.42578125" style="68" customWidth="1"/>
    <col min="8463" max="8463" width="6.7109375" style="68" customWidth="1"/>
    <col min="8464" max="8703" width="10.7109375" style="68" customWidth="1"/>
    <col min="8704" max="8704" width="11.5703125" style="68"/>
    <col min="8705" max="8705" width="13.5703125" style="68" customWidth="1"/>
    <col min="8706" max="8707" width="17.85546875" style="68" customWidth="1"/>
    <col min="8708" max="8708" width="15.5703125" style="68" customWidth="1"/>
    <col min="8709" max="8709" width="17.28515625" style="68" customWidth="1"/>
    <col min="8710" max="8710" width="1.42578125" style="68" customWidth="1"/>
    <col min="8711" max="8711" width="9.140625" style="68" customWidth="1"/>
    <col min="8712" max="8712" width="10.42578125" style="68" customWidth="1"/>
    <col min="8713" max="8713" width="16" style="68" customWidth="1"/>
    <col min="8714" max="8714" width="9" style="68" customWidth="1"/>
    <col min="8715" max="8715" width="14.28515625" style="68" customWidth="1"/>
    <col min="8716" max="8716" width="1.42578125" style="68" customWidth="1"/>
    <col min="8717" max="8717" width="10.7109375" style="68" customWidth="1"/>
    <col min="8718" max="8718" width="8.42578125" style="68" customWidth="1"/>
    <col min="8719" max="8719" width="6.7109375" style="68" customWidth="1"/>
    <col min="8720" max="8959" width="10.7109375" style="68" customWidth="1"/>
    <col min="8960" max="8960" width="11.5703125" style="68"/>
    <col min="8961" max="8961" width="13.5703125" style="68" customWidth="1"/>
    <col min="8962" max="8963" width="17.85546875" style="68" customWidth="1"/>
    <col min="8964" max="8964" width="15.5703125" style="68" customWidth="1"/>
    <col min="8965" max="8965" width="17.28515625" style="68" customWidth="1"/>
    <col min="8966" max="8966" width="1.42578125" style="68" customWidth="1"/>
    <col min="8967" max="8967" width="9.140625" style="68" customWidth="1"/>
    <col min="8968" max="8968" width="10.42578125" style="68" customWidth="1"/>
    <col min="8969" max="8969" width="16" style="68" customWidth="1"/>
    <col min="8970" max="8970" width="9" style="68" customWidth="1"/>
    <col min="8971" max="8971" width="14.28515625" style="68" customWidth="1"/>
    <col min="8972" max="8972" width="1.42578125" style="68" customWidth="1"/>
    <col min="8973" max="8973" width="10.7109375" style="68" customWidth="1"/>
    <col min="8974" max="8974" width="8.42578125" style="68" customWidth="1"/>
    <col min="8975" max="8975" width="6.7109375" style="68" customWidth="1"/>
    <col min="8976" max="9215" width="10.7109375" style="68" customWidth="1"/>
    <col min="9216" max="9216" width="11.5703125" style="68"/>
    <col min="9217" max="9217" width="13.5703125" style="68" customWidth="1"/>
    <col min="9218" max="9219" width="17.85546875" style="68" customWidth="1"/>
    <col min="9220" max="9220" width="15.5703125" style="68" customWidth="1"/>
    <col min="9221" max="9221" width="17.28515625" style="68" customWidth="1"/>
    <col min="9222" max="9222" width="1.42578125" style="68" customWidth="1"/>
    <col min="9223" max="9223" width="9.140625" style="68" customWidth="1"/>
    <col min="9224" max="9224" width="10.42578125" style="68" customWidth="1"/>
    <col min="9225" max="9225" width="16" style="68" customWidth="1"/>
    <col min="9226" max="9226" width="9" style="68" customWidth="1"/>
    <col min="9227" max="9227" width="14.28515625" style="68" customWidth="1"/>
    <col min="9228" max="9228" width="1.42578125" style="68" customWidth="1"/>
    <col min="9229" max="9229" width="10.7109375" style="68" customWidth="1"/>
    <col min="9230" max="9230" width="8.42578125" style="68" customWidth="1"/>
    <col min="9231" max="9231" width="6.7109375" style="68" customWidth="1"/>
    <col min="9232" max="9471" width="10.7109375" style="68" customWidth="1"/>
    <col min="9472" max="9472" width="11.5703125" style="68"/>
    <col min="9473" max="9473" width="13.5703125" style="68" customWidth="1"/>
    <col min="9474" max="9475" width="17.85546875" style="68" customWidth="1"/>
    <col min="9476" max="9476" width="15.5703125" style="68" customWidth="1"/>
    <col min="9477" max="9477" width="17.28515625" style="68" customWidth="1"/>
    <col min="9478" max="9478" width="1.42578125" style="68" customWidth="1"/>
    <col min="9479" max="9479" width="9.140625" style="68" customWidth="1"/>
    <col min="9480" max="9480" width="10.42578125" style="68" customWidth="1"/>
    <col min="9481" max="9481" width="16" style="68" customWidth="1"/>
    <col min="9482" max="9482" width="9" style="68" customWidth="1"/>
    <col min="9483" max="9483" width="14.28515625" style="68" customWidth="1"/>
    <col min="9484" max="9484" width="1.42578125" style="68" customWidth="1"/>
    <col min="9485" max="9485" width="10.7109375" style="68" customWidth="1"/>
    <col min="9486" max="9486" width="8.42578125" style="68" customWidth="1"/>
    <col min="9487" max="9487" width="6.7109375" style="68" customWidth="1"/>
    <col min="9488" max="9727" width="10.7109375" style="68" customWidth="1"/>
    <col min="9728" max="9728" width="11.5703125" style="68"/>
    <col min="9729" max="9729" width="13.5703125" style="68" customWidth="1"/>
    <col min="9730" max="9731" width="17.85546875" style="68" customWidth="1"/>
    <col min="9732" max="9732" width="15.5703125" style="68" customWidth="1"/>
    <col min="9733" max="9733" width="17.28515625" style="68" customWidth="1"/>
    <col min="9734" max="9734" width="1.42578125" style="68" customWidth="1"/>
    <col min="9735" max="9735" width="9.140625" style="68" customWidth="1"/>
    <col min="9736" max="9736" width="10.42578125" style="68" customWidth="1"/>
    <col min="9737" max="9737" width="16" style="68" customWidth="1"/>
    <col min="9738" max="9738" width="9" style="68" customWidth="1"/>
    <col min="9739" max="9739" width="14.28515625" style="68" customWidth="1"/>
    <col min="9740" max="9740" width="1.42578125" style="68" customWidth="1"/>
    <col min="9741" max="9741" width="10.7109375" style="68" customWidth="1"/>
    <col min="9742" max="9742" width="8.42578125" style="68" customWidth="1"/>
    <col min="9743" max="9743" width="6.7109375" style="68" customWidth="1"/>
    <col min="9744" max="9983" width="10.7109375" style="68" customWidth="1"/>
    <col min="9984" max="9984" width="11.5703125" style="68"/>
    <col min="9985" max="9985" width="13.5703125" style="68" customWidth="1"/>
    <col min="9986" max="9987" width="17.85546875" style="68" customWidth="1"/>
    <col min="9988" max="9988" width="15.5703125" style="68" customWidth="1"/>
    <col min="9989" max="9989" width="17.28515625" style="68" customWidth="1"/>
    <col min="9990" max="9990" width="1.42578125" style="68" customWidth="1"/>
    <col min="9991" max="9991" width="9.140625" style="68" customWidth="1"/>
    <col min="9992" max="9992" width="10.42578125" style="68" customWidth="1"/>
    <col min="9993" max="9993" width="16" style="68" customWidth="1"/>
    <col min="9994" max="9994" width="9" style="68" customWidth="1"/>
    <col min="9995" max="9995" width="14.28515625" style="68" customWidth="1"/>
    <col min="9996" max="9996" width="1.42578125" style="68" customWidth="1"/>
    <col min="9997" max="9997" width="10.7109375" style="68" customWidth="1"/>
    <col min="9998" max="9998" width="8.42578125" style="68" customWidth="1"/>
    <col min="9999" max="9999" width="6.7109375" style="68" customWidth="1"/>
    <col min="10000" max="10239" width="10.7109375" style="68" customWidth="1"/>
    <col min="10240" max="10240" width="11.5703125" style="68"/>
    <col min="10241" max="10241" width="13.5703125" style="68" customWidth="1"/>
    <col min="10242" max="10243" width="17.85546875" style="68" customWidth="1"/>
    <col min="10244" max="10244" width="15.5703125" style="68" customWidth="1"/>
    <col min="10245" max="10245" width="17.28515625" style="68" customWidth="1"/>
    <col min="10246" max="10246" width="1.42578125" style="68" customWidth="1"/>
    <col min="10247" max="10247" width="9.140625" style="68" customWidth="1"/>
    <col min="10248" max="10248" width="10.42578125" style="68" customWidth="1"/>
    <col min="10249" max="10249" width="16" style="68" customWidth="1"/>
    <col min="10250" max="10250" width="9" style="68" customWidth="1"/>
    <col min="10251" max="10251" width="14.28515625" style="68" customWidth="1"/>
    <col min="10252" max="10252" width="1.42578125" style="68" customWidth="1"/>
    <col min="10253" max="10253" width="10.7109375" style="68" customWidth="1"/>
    <col min="10254" max="10254" width="8.42578125" style="68" customWidth="1"/>
    <col min="10255" max="10255" width="6.7109375" style="68" customWidth="1"/>
    <col min="10256" max="10495" width="10.7109375" style="68" customWidth="1"/>
    <col min="10496" max="10496" width="11.5703125" style="68"/>
    <col min="10497" max="10497" width="13.5703125" style="68" customWidth="1"/>
    <col min="10498" max="10499" width="17.85546875" style="68" customWidth="1"/>
    <col min="10500" max="10500" width="15.5703125" style="68" customWidth="1"/>
    <col min="10501" max="10501" width="17.28515625" style="68" customWidth="1"/>
    <col min="10502" max="10502" width="1.42578125" style="68" customWidth="1"/>
    <col min="10503" max="10503" width="9.140625" style="68" customWidth="1"/>
    <col min="10504" max="10504" width="10.42578125" style="68" customWidth="1"/>
    <col min="10505" max="10505" width="16" style="68" customWidth="1"/>
    <col min="10506" max="10506" width="9" style="68" customWidth="1"/>
    <col min="10507" max="10507" width="14.28515625" style="68" customWidth="1"/>
    <col min="10508" max="10508" width="1.42578125" style="68" customWidth="1"/>
    <col min="10509" max="10509" width="10.7109375" style="68" customWidth="1"/>
    <col min="10510" max="10510" width="8.42578125" style="68" customWidth="1"/>
    <col min="10511" max="10511" width="6.7109375" style="68" customWidth="1"/>
    <col min="10512" max="10751" width="10.7109375" style="68" customWidth="1"/>
    <col min="10752" max="10752" width="11.5703125" style="68"/>
    <col min="10753" max="10753" width="13.5703125" style="68" customWidth="1"/>
    <col min="10754" max="10755" width="17.85546875" style="68" customWidth="1"/>
    <col min="10756" max="10756" width="15.5703125" style="68" customWidth="1"/>
    <col min="10757" max="10757" width="17.28515625" style="68" customWidth="1"/>
    <col min="10758" max="10758" width="1.42578125" style="68" customWidth="1"/>
    <col min="10759" max="10759" width="9.140625" style="68" customWidth="1"/>
    <col min="10760" max="10760" width="10.42578125" style="68" customWidth="1"/>
    <col min="10761" max="10761" width="16" style="68" customWidth="1"/>
    <col min="10762" max="10762" width="9" style="68" customWidth="1"/>
    <col min="10763" max="10763" width="14.28515625" style="68" customWidth="1"/>
    <col min="10764" max="10764" width="1.42578125" style="68" customWidth="1"/>
    <col min="10765" max="10765" width="10.7109375" style="68" customWidth="1"/>
    <col min="10766" max="10766" width="8.42578125" style="68" customWidth="1"/>
    <col min="10767" max="10767" width="6.7109375" style="68" customWidth="1"/>
    <col min="10768" max="11007" width="10.7109375" style="68" customWidth="1"/>
    <col min="11008" max="11008" width="11.5703125" style="68"/>
    <col min="11009" max="11009" width="13.5703125" style="68" customWidth="1"/>
    <col min="11010" max="11011" width="17.85546875" style="68" customWidth="1"/>
    <col min="11012" max="11012" width="15.5703125" style="68" customWidth="1"/>
    <col min="11013" max="11013" width="17.28515625" style="68" customWidth="1"/>
    <col min="11014" max="11014" width="1.42578125" style="68" customWidth="1"/>
    <col min="11015" max="11015" width="9.140625" style="68" customWidth="1"/>
    <col min="11016" max="11016" width="10.42578125" style="68" customWidth="1"/>
    <col min="11017" max="11017" width="16" style="68" customWidth="1"/>
    <col min="11018" max="11018" width="9" style="68" customWidth="1"/>
    <col min="11019" max="11019" width="14.28515625" style="68" customWidth="1"/>
    <col min="11020" max="11020" width="1.42578125" style="68" customWidth="1"/>
    <col min="11021" max="11021" width="10.7109375" style="68" customWidth="1"/>
    <col min="11022" max="11022" width="8.42578125" style="68" customWidth="1"/>
    <col min="11023" max="11023" width="6.7109375" style="68" customWidth="1"/>
    <col min="11024" max="11263" width="10.7109375" style="68" customWidth="1"/>
    <col min="11264" max="11264" width="11.5703125" style="68"/>
    <col min="11265" max="11265" width="13.5703125" style="68" customWidth="1"/>
    <col min="11266" max="11267" width="17.85546875" style="68" customWidth="1"/>
    <col min="11268" max="11268" width="15.5703125" style="68" customWidth="1"/>
    <col min="11269" max="11269" width="17.28515625" style="68" customWidth="1"/>
    <col min="11270" max="11270" width="1.42578125" style="68" customWidth="1"/>
    <col min="11271" max="11271" width="9.140625" style="68" customWidth="1"/>
    <col min="11272" max="11272" width="10.42578125" style="68" customWidth="1"/>
    <col min="11273" max="11273" width="16" style="68" customWidth="1"/>
    <col min="11274" max="11274" width="9" style="68" customWidth="1"/>
    <col min="11275" max="11275" width="14.28515625" style="68" customWidth="1"/>
    <col min="11276" max="11276" width="1.42578125" style="68" customWidth="1"/>
    <col min="11277" max="11277" width="10.7109375" style="68" customWidth="1"/>
    <col min="11278" max="11278" width="8.42578125" style="68" customWidth="1"/>
    <col min="11279" max="11279" width="6.7109375" style="68" customWidth="1"/>
    <col min="11280" max="11519" width="10.7109375" style="68" customWidth="1"/>
    <col min="11520" max="11520" width="11.5703125" style="68"/>
    <col min="11521" max="11521" width="13.5703125" style="68" customWidth="1"/>
    <col min="11522" max="11523" width="17.85546875" style="68" customWidth="1"/>
    <col min="11524" max="11524" width="15.5703125" style="68" customWidth="1"/>
    <col min="11525" max="11525" width="17.28515625" style="68" customWidth="1"/>
    <col min="11526" max="11526" width="1.42578125" style="68" customWidth="1"/>
    <col min="11527" max="11527" width="9.140625" style="68" customWidth="1"/>
    <col min="11528" max="11528" width="10.42578125" style="68" customWidth="1"/>
    <col min="11529" max="11529" width="16" style="68" customWidth="1"/>
    <col min="11530" max="11530" width="9" style="68" customWidth="1"/>
    <col min="11531" max="11531" width="14.28515625" style="68" customWidth="1"/>
    <col min="11532" max="11532" width="1.42578125" style="68" customWidth="1"/>
    <col min="11533" max="11533" width="10.7109375" style="68" customWidth="1"/>
    <col min="11534" max="11534" width="8.42578125" style="68" customWidth="1"/>
    <col min="11535" max="11535" width="6.7109375" style="68" customWidth="1"/>
    <col min="11536" max="11775" width="10.7109375" style="68" customWidth="1"/>
    <col min="11776" max="11776" width="11.5703125" style="68"/>
    <col min="11777" max="11777" width="13.5703125" style="68" customWidth="1"/>
    <col min="11778" max="11779" width="17.85546875" style="68" customWidth="1"/>
    <col min="11780" max="11780" width="15.5703125" style="68" customWidth="1"/>
    <col min="11781" max="11781" width="17.28515625" style="68" customWidth="1"/>
    <col min="11782" max="11782" width="1.42578125" style="68" customWidth="1"/>
    <col min="11783" max="11783" width="9.140625" style="68" customWidth="1"/>
    <col min="11784" max="11784" width="10.42578125" style="68" customWidth="1"/>
    <col min="11785" max="11785" width="16" style="68" customWidth="1"/>
    <col min="11786" max="11786" width="9" style="68" customWidth="1"/>
    <col min="11787" max="11787" width="14.28515625" style="68" customWidth="1"/>
    <col min="11788" max="11788" width="1.42578125" style="68" customWidth="1"/>
    <col min="11789" max="11789" width="10.7109375" style="68" customWidth="1"/>
    <col min="11790" max="11790" width="8.42578125" style="68" customWidth="1"/>
    <col min="11791" max="11791" width="6.7109375" style="68" customWidth="1"/>
    <col min="11792" max="12031" width="10.7109375" style="68" customWidth="1"/>
    <col min="12032" max="12032" width="11.5703125" style="68"/>
    <col min="12033" max="12033" width="13.5703125" style="68" customWidth="1"/>
    <col min="12034" max="12035" width="17.85546875" style="68" customWidth="1"/>
    <col min="12036" max="12036" width="15.5703125" style="68" customWidth="1"/>
    <col min="12037" max="12037" width="17.28515625" style="68" customWidth="1"/>
    <col min="12038" max="12038" width="1.42578125" style="68" customWidth="1"/>
    <col min="12039" max="12039" width="9.140625" style="68" customWidth="1"/>
    <col min="12040" max="12040" width="10.42578125" style="68" customWidth="1"/>
    <col min="12041" max="12041" width="16" style="68" customWidth="1"/>
    <col min="12042" max="12042" width="9" style="68" customWidth="1"/>
    <col min="12043" max="12043" width="14.28515625" style="68" customWidth="1"/>
    <col min="12044" max="12044" width="1.42578125" style="68" customWidth="1"/>
    <col min="12045" max="12045" width="10.7109375" style="68" customWidth="1"/>
    <col min="12046" max="12046" width="8.42578125" style="68" customWidth="1"/>
    <col min="12047" max="12047" width="6.7109375" style="68" customWidth="1"/>
    <col min="12048" max="12287" width="10.7109375" style="68" customWidth="1"/>
    <col min="12288" max="12288" width="11.5703125" style="68"/>
    <col min="12289" max="12289" width="13.5703125" style="68" customWidth="1"/>
    <col min="12290" max="12291" width="17.85546875" style="68" customWidth="1"/>
    <col min="12292" max="12292" width="15.5703125" style="68" customWidth="1"/>
    <col min="12293" max="12293" width="17.28515625" style="68" customWidth="1"/>
    <col min="12294" max="12294" width="1.42578125" style="68" customWidth="1"/>
    <col min="12295" max="12295" width="9.140625" style="68" customWidth="1"/>
    <col min="12296" max="12296" width="10.42578125" style="68" customWidth="1"/>
    <col min="12297" max="12297" width="16" style="68" customWidth="1"/>
    <col min="12298" max="12298" width="9" style="68" customWidth="1"/>
    <col min="12299" max="12299" width="14.28515625" style="68" customWidth="1"/>
    <col min="12300" max="12300" width="1.42578125" style="68" customWidth="1"/>
    <col min="12301" max="12301" width="10.7109375" style="68" customWidth="1"/>
    <col min="12302" max="12302" width="8.42578125" style="68" customWidth="1"/>
    <col min="12303" max="12303" width="6.7109375" style="68" customWidth="1"/>
    <col min="12304" max="12543" width="10.7109375" style="68" customWidth="1"/>
    <col min="12544" max="12544" width="11.5703125" style="68"/>
    <col min="12545" max="12545" width="13.5703125" style="68" customWidth="1"/>
    <col min="12546" max="12547" width="17.85546875" style="68" customWidth="1"/>
    <col min="12548" max="12548" width="15.5703125" style="68" customWidth="1"/>
    <col min="12549" max="12549" width="17.28515625" style="68" customWidth="1"/>
    <col min="12550" max="12550" width="1.42578125" style="68" customWidth="1"/>
    <col min="12551" max="12551" width="9.140625" style="68" customWidth="1"/>
    <col min="12552" max="12552" width="10.42578125" style="68" customWidth="1"/>
    <col min="12553" max="12553" width="16" style="68" customWidth="1"/>
    <col min="12554" max="12554" width="9" style="68" customWidth="1"/>
    <col min="12555" max="12555" width="14.28515625" style="68" customWidth="1"/>
    <col min="12556" max="12556" width="1.42578125" style="68" customWidth="1"/>
    <col min="12557" max="12557" width="10.7109375" style="68" customWidth="1"/>
    <col min="12558" max="12558" width="8.42578125" style="68" customWidth="1"/>
    <col min="12559" max="12559" width="6.7109375" style="68" customWidth="1"/>
    <col min="12560" max="12799" width="10.7109375" style="68" customWidth="1"/>
    <col min="12800" max="12800" width="11.5703125" style="68"/>
    <col min="12801" max="12801" width="13.5703125" style="68" customWidth="1"/>
    <col min="12802" max="12803" width="17.85546875" style="68" customWidth="1"/>
    <col min="12804" max="12804" width="15.5703125" style="68" customWidth="1"/>
    <col min="12805" max="12805" width="17.28515625" style="68" customWidth="1"/>
    <col min="12806" max="12806" width="1.42578125" style="68" customWidth="1"/>
    <col min="12807" max="12807" width="9.140625" style="68" customWidth="1"/>
    <col min="12808" max="12808" width="10.42578125" style="68" customWidth="1"/>
    <col min="12809" max="12809" width="16" style="68" customWidth="1"/>
    <col min="12810" max="12810" width="9" style="68" customWidth="1"/>
    <col min="12811" max="12811" width="14.28515625" style="68" customWidth="1"/>
    <col min="12812" max="12812" width="1.42578125" style="68" customWidth="1"/>
    <col min="12813" max="12813" width="10.7109375" style="68" customWidth="1"/>
    <col min="12814" max="12814" width="8.42578125" style="68" customWidth="1"/>
    <col min="12815" max="12815" width="6.7109375" style="68" customWidth="1"/>
    <col min="12816" max="13055" width="10.7109375" style="68" customWidth="1"/>
    <col min="13056" max="13056" width="11.5703125" style="68"/>
    <col min="13057" max="13057" width="13.5703125" style="68" customWidth="1"/>
    <col min="13058" max="13059" width="17.85546875" style="68" customWidth="1"/>
    <col min="13060" max="13060" width="15.5703125" style="68" customWidth="1"/>
    <col min="13061" max="13061" width="17.28515625" style="68" customWidth="1"/>
    <col min="13062" max="13062" width="1.42578125" style="68" customWidth="1"/>
    <col min="13063" max="13063" width="9.140625" style="68" customWidth="1"/>
    <col min="13064" max="13064" width="10.42578125" style="68" customWidth="1"/>
    <col min="13065" max="13065" width="16" style="68" customWidth="1"/>
    <col min="13066" max="13066" width="9" style="68" customWidth="1"/>
    <col min="13067" max="13067" width="14.28515625" style="68" customWidth="1"/>
    <col min="13068" max="13068" width="1.42578125" style="68" customWidth="1"/>
    <col min="13069" max="13069" width="10.7109375" style="68" customWidth="1"/>
    <col min="13070" max="13070" width="8.42578125" style="68" customWidth="1"/>
    <col min="13071" max="13071" width="6.7109375" style="68" customWidth="1"/>
    <col min="13072" max="13311" width="10.7109375" style="68" customWidth="1"/>
    <col min="13312" max="13312" width="11.5703125" style="68"/>
    <col min="13313" max="13313" width="13.5703125" style="68" customWidth="1"/>
    <col min="13314" max="13315" width="17.85546875" style="68" customWidth="1"/>
    <col min="13316" max="13316" width="15.5703125" style="68" customWidth="1"/>
    <col min="13317" max="13317" width="17.28515625" style="68" customWidth="1"/>
    <col min="13318" max="13318" width="1.42578125" style="68" customWidth="1"/>
    <col min="13319" max="13319" width="9.140625" style="68" customWidth="1"/>
    <col min="13320" max="13320" width="10.42578125" style="68" customWidth="1"/>
    <col min="13321" max="13321" width="16" style="68" customWidth="1"/>
    <col min="13322" max="13322" width="9" style="68" customWidth="1"/>
    <col min="13323" max="13323" width="14.28515625" style="68" customWidth="1"/>
    <col min="13324" max="13324" width="1.42578125" style="68" customWidth="1"/>
    <col min="13325" max="13325" width="10.7109375" style="68" customWidth="1"/>
    <col min="13326" max="13326" width="8.42578125" style="68" customWidth="1"/>
    <col min="13327" max="13327" width="6.7109375" style="68" customWidth="1"/>
    <col min="13328" max="13567" width="10.7109375" style="68" customWidth="1"/>
    <col min="13568" max="13568" width="11.5703125" style="68"/>
    <col min="13569" max="13569" width="13.5703125" style="68" customWidth="1"/>
    <col min="13570" max="13571" width="17.85546875" style="68" customWidth="1"/>
    <col min="13572" max="13572" width="15.5703125" style="68" customWidth="1"/>
    <col min="13573" max="13573" width="17.28515625" style="68" customWidth="1"/>
    <col min="13574" max="13574" width="1.42578125" style="68" customWidth="1"/>
    <col min="13575" max="13575" width="9.140625" style="68" customWidth="1"/>
    <col min="13576" max="13576" width="10.42578125" style="68" customWidth="1"/>
    <col min="13577" max="13577" width="16" style="68" customWidth="1"/>
    <col min="13578" max="13578" width="9" style="68" customWidth="1"/>
    <col min="13579" max="13579" width="14.28515625" style="68" customWidth="1"/>
    <col min="13580" max="13580" width="1.42578125" style="68" customWidth="1"/>
    <col min="13581" max="13581" width="10.7109375" style="68" customWidth="1"/>
    <col min="13582" max="13582" width="8.42578125" style="68" customWidth="1"/>
    <col min="13583" max="13583" width="6.7109375" style="68" customWidth="1"/>
    <col min="13584" max="13823" width="10.7109375" style="68" customWidth="1"/>
    <col min="13824" max="13824" width="11.5703125" style="68"/>
    <col min="13825" max="13825" width="13.5703125" style="68" customWidth="1"/>
    <col min="13826" max="13827" width="17.85546875" style="68" customWidth="1"/>
    <col min="13828" max="13828" width="15.5703125" style="68" customWidth="1"/>
    <col min="13829" max="13829" width="17.28515625" style="68" customWidth="1"/>
    <col min="13830" max="13830" width="1.42578125" style="68" customWidth="1"/>
    <col min="13831" max="13831" width="9.140625" style="68" customWidth="1"/>
    <col min="13832" max="13832" width="10.42578125" style="68" customWidth="1"/>
    <col min="13833" max="13833" width="16" style="68" customWidth="1"/>
    <col min="13834" max="13834" width="9" style="68" customWidth="1"/>
    <col min="13835" max="13835" width="14.28515625" style="68" customWidth="1"/>
    <col min="13836" max="13836" width="1.42578125" style="68" customWidth="1"/>
    <col min="13837" max="13837" width="10.7109375" style="68" customWidth="1"/>
    <col min="13838" max="13838" width="8.42578125" style="68" customWidth="1"/>
    <col min="13839" max="13839" width="6.7109375" style="68" customWidth="1"/>
    <col min="13840" max="14079" width="10.7109375" style="68" customWidth="1"/>
    <col min="14080" max="14080" width="11.5703125" style="68"/>
    <col min="14081" max="14081" width="13.5703125" style="68" customWidth="1"/>
    <col min="14082" max="14083" width="17.85546875" style="68" customWidth="1"/>
    <col min="14084" max="14084" width="15.5703125" style="68" customWidth="1"/>
    <col min="14085" max="14085" width="17.28515625" style="68" customWidth="1"/>
    <col min="14086" max="14086" width="1.42578125" style="68" customWidth="1"/>
    <col min="14087" max="14087" width="9.140625" style="68" customWidth="1"/>
    <col min="14088" max="14088" width="10.42578125" style="68" customWidth="1"/>
    <col min="14089" max="14089" width="16" style="68" customWidth="1"/>
    <col min="14090" max="14090" width="9" style="68" customWidth="1"/>
    <col min="14091" max="14091" width="14.28515625" style="68" customWidth="1"/>
    <col min="14092" max="14092" width="1.42578125" style="68" customWidth="1"/>
    <col min="14093" max="14093" width="10.7109375" style="68" customWidth="1"/>
    <col min="14094" max="14094" width="8.42578125" style="68" customWidth="1"/>
    <col min="14095" max="14095" width="6.7109375" style="68" customWidth="1"/>
    <col min="14096" max="14335" width="10.7109375" style="68" customWidth="1"/>
    <col min="14336" max="14336" width="11.5703125" style="68"/>
    <col min="14337" max="14337" width="13.5703125" style="68" customWidth="1"/>
    <col min="14338" max="14339" width="17.85546875" style="68" customWidth="1"/>
    <col min="14340" max="14340" width="15.5703125" style="68" customWidth="1"/>
    <col min="14341" max="14341" width="17.28515625" style="68" customWidth="1"/>
    <col min="14342" max="14342" width="1.42578125" style="68" customWidth="1"/>
    <col min="14343" max="14343" width="9.140625" style="68" customWidth="1"/>
    <col min="14344" max="14344" width="10.42578125" style="68" customWidth="1"/>
    <col min="14345" max="14345" width="16" style="68" customWidth="1"/>
    <col min="14346" max="14346" width="9" style="68" customWidth="1"/>
    <col min="14347" max="14347" width="14.28515625" style="68" customWidth="1"/>
    <col min="14348" max="14348" width="1.42578125" style="68" customWidth="1"/>
    <col min="14349" max="14349" width="10.7109375" style="68" customWidth="1"/>
    <col min="14350" max="14350" width="8.42578125" style="68" customWidth="1"/>
    <col min="14351" max="14351" width="6.7109375" style="68" customWidth="1"/>
    <col min="14352" max="14591" width="10.7109375" style="68" customWidth="1"/>
    <col min="14592" max="14592" width="11.5703125" style="68"/>
    <col min="14593" max="14593" width="13.5703125" style="68" customWidth="1"/>
    <col min="14594" max="14595" width="17.85546875" style="68" customWidth="1"/>
    <col min="14596" max="14596" width="15.5703125" style="68" customWidth="1"/>
    <col min="14597" max="14597" width="17.28515625" style="68" customWidth="1"/>
    <col min="14598" max="14598" width="1.42578125" style="68" customWidth="1"/>
    <col min="14599" max="14599" width="9.140625" style="68" customWidth="1"/>
    <col min="14600" max="14600" width="10.42578125" style="68" customWidth="1"/>
    <col min="14601" max="14601" width="16" style="68" customWidth="1"/>
    <col min="14602" max="14602" width="9" style="68" customWidth="1"/>
    <col min="14603" max="14603" width="14.28515625" style="68" customWidth="1"/>
    <col min="14604" max="14604" width="1.42578125" style="68" customWidth="1"/>
    <col min="14605" max="14605" width="10.7109375" style="68" customWidth="1"/>
    <col min="14606" max="14606" width="8.42578125" style="68" customWidth="1"/>
    <col min="14607" max="14607" width="6.7109375" style="68" customWidth="1"/>
    <col min="14608" max="14847" width="10.7109375" style="68" customWidth="1"/>
    <col min="14848" max="14848" width="11.5703125" style="68"/>
    <col min="14849" max="14849" width="13.5703125" style="68" customWidth="1"/>
    <col min="14850" max="14851" width="17.85546875" style="68" customWidth="1"/>
    <col min="14852" max="14852" width="15.5703125" style="68" customWidth="1"/>
    <col min="14853" max="14853" width="17.28515625" style="68" customWidth="1"/>
    <col min="14854" max="14854" width="1.42578125" style="68" customWidth="1"/>
    <col min="14855" max="14855" width="9.140625" style="68" customWidth="1"/>
    <col min="14856" max="14856" width="10.42578125" style="68" customWidth="1"/>
    <col min="14857" max="14857" width="16" style="68" customWidth="1"/>
    <col min="14858" max="14858" width="9" style="68" customWidth="1"/>
    <col min="14859" max="14859" width="14.28515625" style="68" customWidth="1"/>
    <col min="14860" max="14860" width="1.42578125" style="68" customWidth="1"/>
    <col min="14861" max="14861" width="10.7109375" style="68" customWidth="1"/>
    <col min="14862" max="14862" width="8.42578125" style="68" customWidth="1"/>
    <col min="14863" max="14863" width="6.7109375" style="68" customWidth="1"/>
    <col min="14864" max="15103" width="10.7109375" style="68" customWidth="1"/>
    <col min="15104" max="15104" width="11.5703125" style="68"/>
    <col min="15105" max="15105" width="13.5703125" style="68" customWidth="1"/>
    <col min="15106" max="15107" width="17.85546875" style="68" customWidth="1"/>
    <col min="15108" max="15108" width="15.5703125" style="68" customWidth="1"/>
    <col min="15109" max="15109" width="17.28515625" style="68" customWidth="1"/>
    <col min="15110" max="15110" width="1.42578125" style="68" customWidth="1"/>
    <col min="15111" max="15111" width="9.140625" style="68" customWidth="1"/>
    <col min="15112" max="15112" width="10.42578125" style="68" customWidth="1"/>
    <col min="15113" max="15113" width="16" style="68" customWidth="1"/>
    <col min="15114" max="15114" width="9" style="68" customWidth="1"/>
    <col min="15115" max="15115" width="14.28515625" style="68" customWidth="1"/>
    <col min="15116" max="15116" width="1.42578125" style="68" customWidth="1"/>
    <col min="15117" max="15117" width="10.7109375" style="68" customWidth="1"/>
    <col min="15118" max="15118" width="8.42578125" style="68" customWidth="1"/>
    <col min="15119" max="15119" width="6.7109375" style="68" customWidth="1"/>
    <col min="15120" max="15359" width="10.7109375" style="68" customWidth="1"/>
    <col min="15360" max="15360" width="11.5703125" style="68"/>
    <col min="15361" max="15361" width="13.5703125" style="68" customWidth="1"/>
    <col min="15362" max="15363" width="17.85546875" style="68" customWidth="1"/>
    <col min="15364" max="15364" width="15.5703125" style="68" customWidth="1"/>
    <col min="15365" max="15365" width="17.28515625" style="68" customWidth="1"/>
    <col min="15366" max="15366" width="1.42578125" style="68" customWidth="1"/>
    <col min="15367" max="15367" width="9.140625" style="68" customWidth="1"/>
    <col min="15368" max="15368" width="10.42578125" style="68" customWidth="1"/>
    <col min="15369" max="15369" width="16" style="68" customWidth="1"/>
    <col min="15370" max="15370" width="9" style="68" customWidth="1"/>
    <col min="15371" max="15371" width="14.28515625" style="68" customWidth="1"/>
    <col min="15372" max="15372" width="1.42578125" style="68" customWidth="1"/>
    <col min="15373" max="15373" width="10.7109375" style="68" customWidth="1"/>
    <col min="15374" max="15374" width="8.42578125" style="68" customWidth="1"/>
    <col min="15375" max="15375" width="6.7109375" style="68" customWidth="1"/>
    <col min="15376" max="15615" width="10.7109375" style="68" customWidth="1"/>
    <col min="15616" max="15616" width="11.5703125" style="68"/>
    <col min="15617" max="15617" width="13.5703125" style="68" customWidth="1"/>
    <col min="15618" max="15619" width="17.85546875" style="68" customWidth="1"/>
    <col min="15620" max="15620" width="15.5703125" style="68" customWidth="1"/>
    <col min="15621" max="15621" width="17.28515625" style="68" customWidth="1"/>
    <col min="15622" max="15622" width="1.42578125" style="68" customWidth="1"/>
    <col min="15623" max="15623" width="9.140625" style="68" customWidth="1"/>
    <col min="15624" max="15624" width="10.42578125" style="68" customWidth="1"/>
    <col min="15625" max="15625" width="16" style="68" customWidth="1"/>
    <col min="15626" max="15626" width="9" style="68" customWidth="1"/>
    <col min="15627" max="15627" width="14.28515625" style="68" customWidth="1"/>
    <col min="15628" max="15628" width="1.42578125" style="68" customWidth="1"/>
    <col min="15629" max="15629" width="10.7109375" style="68" customWidth="1"/>
    <col min="15630" max="15630" width="8.42578125" style="68" customWidth="1"/>
    <col min="15631" max="15631" width="6.7109375" style="68" customWidth="1"/>
    <col min="15632" max="15871" width="10.7109375" style="68" customWidth="1"/>
    <col min="15872" max="15872" width="11.5703125" style="68"/>
    <col min="15873" max="15873" width="13.5703125" style="68" customWidth="1"/>
    <col min="15874" max="15875" width="17.85546875" style="68" customWidth="1"/>
    <col min="15876" max="15876" width="15.5703125" style="68" customWidth="1"/>
    <col min="15877" max="15877" width="17.28515625" style="68" customWidth="1"/>
    <col min="15878" max="15878" width="1.42578125" style="68" customWidth="1"/>
    <col min="15879" max="15879" width="9.140625" style="68" customWidth="1"/>
    <col min="15880" max="15880" width="10.42578125" style="68" customWidth="1"/>
    <col min="15881" max="15881" width="16" style="68" customWidth="1"/>
    <col min="15882" max="15882" width="9" style="68" customWidth="1"/>
    <col min="15883" max="15883" width="14.28515625" style="68" customWidth="1"/>
    <col min="15884" max="15884" width="1.42578125" style="68" customWidth="1"/>
    <col min="15885" max="15885" width="10.7109375" style="68" customWidth="1"/>
    <col min="15886" max="15886" width="8.42578125" style="68" customWidth="1"/>
    <col min="15887" max="15887" width="6.7109375" style="68" customWidth="1"/>
    <col min="15888" max="16127" width="10.7109375" style="68" customWidth="1"/>
    <col min="16128" max="16128" width="11.5703125" style="68"/>
    <col min="16129" max="16129" width="13.5703125" style="68" customWidth="1"/>
    <col min="16130" max="16131" width="17.85546875" style="68" customWidth="1"/>
    <col min="16132" max="16132" width="15.5703125" style="68" customWidth="1"/>
    <col min="16133" max="16133" width="17.28515625" style="68" customWidth="1"/>
    <col min="16134" max="16134" width="1.42578125" style="68" customWidth="1"/>
    <col min="16135" max="16135" width="9.140625" style="68" customWidth="1"/>
    <col min="16136" max="16136" width="10.42578125" style="68" customWidth="1"/>
    <col min="16137" max="16137" width="16" style="68" customWidth="1"/>
    <col min="16138" max="16138" width="9" style="68" customWidth="1"/>
    <col min="16139" max="16139" width="14.28515625" style="68" customWidth="1"/>
    <col min="16140" max="16140" width="1.42578125" style="68" customWidth="1"/>
    <col min="16141" max="16141" width="10.7109375" style="68" customWidth="1"/>
    <col min="16142" max="16142" width="8.42578125" style="68" customWidth="1"/>
    <col min="16143" max="16143" width="6.7109375" style="68" customWidth="1"/>
    <col min="16144" max="16384" width="10.7109375" style="68" customWidth="1"/>
  </cols>
  <sheetData>
    <row r="2" spans="1:15" ht="15" x14ac:dyDescent="0.25">
      <c r="A2" s="70"/>
      <c r="B2" s="191" t="s">
        <v>0</v>
      </c>
      <c r="C2" s="134"/>
      <c r="D2" s="193">
        <v>2024</v>
      </c>
      <c r="E2" s="195" t="s">
        <v>54</v>
      </c>
      <c r="F2" s="195"/>
      <c r="G2" s="195"/>
      <c r="H2" s="195"/>
      <c r="I2" s="195"/>
      <c r="J2" s="195"/>
      <c r="K2" s="135"/>
      <c r="L2" s="49"/>
      <c r="M2" s="49"/>
      <c r="N2" s="49"/>
      <c r="O2" s="50"/>
    </row>
    <row r="3" spans="1:15" ht="15" x14ac:dyDescent="0.25">
      <c r="A3" s="71"/>
      <c r="B3" s="192"/>
      <c r="C3" s="136"/>
      <c r="D3" s="194"/>
      <c r="E3" s="192"/>
      <c r="F3" s="192"/>
      <c r="G3" s="192"/>
      <c r="H3" s="192"/>
      <c r="I3" s="192"/>
      <c r="J3" s="192"/>
      <c r="K3" s="137"/>
      <c r="L3" s="49"/>
      <c r="M3" s="49"/>
      <c r="N3" s="49"/>
      <c r="O3" s="50"/>
    </row>
    <row r="4" spans="1:15" ht="15" x14ac:dyDescent="0.25">
      <c r="A4" s="171" t="s">
        <v>58</v>
      </c>
      <c r="B4" s="172"/>
      <c r="C4" s="172"/>
      <c r="K4" s="138"/>
    </row>
    <row r="5" spans="1:15" ht="15" x14ac:dyDescent="0.25">
      <c r="A5" s="174" t="s">
        <v>59</v>
      </c>
      <c r="B5" s="146"/>
      <c r="C5" s="146"/>
      <c r="G5" s="53"/>
      <c r="H5" s="53"/>
      <c r="K5" s="138"/>
      <c r="O5" s="54"/>
    </row>
    <row r="6" spans="1:15" ht="15" x14ac:dyDescent="0.25">
      <c r="A6" s="174" t="s">
        <v>60</v>
      </c>
      <c r="B6" s="146"/>
      <c r="C6" s="146"/>
      <c r="E6" s="55"/>
      <c r="F6" s="55"/>
      <c r="G6" s="53"/>
      <c r="H6" s="53"/>
      <c r="K6" s="138"/>
    </row>
    <row r="7" spans="1:15" ht="15" x14ac:dyDescent="0.25">
      <c r="A7" s="166">
        <v>20152206748</v>
      </c>
      <c r="B7" s="167"/>
      <c r="C7" s="167"/>
      <c r="E7" s="55"/>
      <c r="F7" s="55"/>
      <c r="K7" s="138"/>
    </row>
    <row r="8" spans="1:15" ht="15" x14ac:dyDescent="0.25">
      <c r="A8" s="52"/>
      <c r="B8" s="139"/>
      <c r="C8" s="139"/>
      <c r="D8" s="140"/>
      <c r="E8" s="140"/>
      <c r="F8" s="140"/>
      <c r="G8" s="139"/>
      <c r="H8" s="139"/>
      <c r="I8" s="139"/>
      <c r="J8" s="139"/>
      <c r="K8" s="141"/>
      <c r="M8" s="196" t="s">
        <v>22</v>
      </c>
      <c r="N8" s="196"/>
      <c r="O8" s="196"/>
    </row>
    <row r="9" spans="1:15" ht="15" x14ac:dyDescent="0.25">
      <c r="A9" s="56" t="s">
        <v>41</v>
      </c>
      <c r="B9" s="142" t="s">
        <v>65</v>
      </c>
      <c r="C9" s="142" t="s">
        <v>66</v>
      </c>
      <c r="D9" s="142" t="s">
        <v>67</v>
      </c>
      <c r="E9" s="142" t="s">
        <v>68</v>
      </c>
      <c r="F9" s="143"/>
      <c r="G9" s="144" t="s">
        <v>7</v>
      </c>
      <c r="H9" s="144" t="s">
        <v>8</v>
      </c>
      <c r="I9" s="142" t="s">
        <v>64</v>
      </c>
      <c r="J9" s="142" t="s">
        <v>82</v>
      </c>
      <c r="K9" s="144" t="s">
        <v>55</v>
      </c>
      <c r="L9" s="57"/>
      <c r="M9" s="197" t="s">
        <v>56</v>
      </c>
      <c r="N9" s="197"/>
      <c r="O9" s="197"/>
    </row>
    <row r="10" spans="1:15" ht="15" x14ac:dyDescent="0.25">
      <c r="A10" s="58" t="s">
        <v>43</v>
      </c>
      <c r="B10" s="91">
        <f>'Salaire globale +  Maladie'!C10</f>
        <v>35412.794999999998</v>
      </c>
      <c r="C10" s="92">
        <f>B10</f>
        <v>35412.794999999998</v>
      </c>
      <c r="D10" s="93">
        <f>C10</f>
        <v>35412.794999999998</v>
      </c>
      <c r="E10" s="91">
        <f>D10</f>
        <v>35412.794999999998</v>
      </c>
      <c r="F10" s="94"/>
      <c r="G10" s="93">
        <f>'Salaire globale +  Maladie'!D10</f>
        <v>1080.1100000000001</v>
      </c>
      <c r="H10" s="91">
        <f>'Salaire globale +  Maladie'!E10</f>
        <v>2833.01</v>
      </c>
      <c r="I10" s="92">
        <f>D10*0.11/100</f>
        <v>38.954074499999997</v>
      </c>
      <c r="J10" s="91">
        <f>E10*0.75/100</f>
        <v>265.59596249999998</v>
      </c>
      <c r="K10" s="120">
        <f>G10+H10+I10+J10</f>
        <v>4217.6700369999999</v>
      </c>
      <c r="L10" s="57"/>
      <c r="M10" s="189">
        <f>K10</f>
        <v>4217.6700369999999</v>
      </c>
      <c r="N10" s="190"/>
      <c r="O10" s="190"/>
    </row>
    <row r="11" spans="1:15" ht="15" x14ac:dyDescent="0.25">
      <c r="A11" s="59" t="s">
        <v>44</v>
      </c>
      <c r="B11" s="96">
        <f>'Salaire globale +  Maladie'!C11</f>
        <v>38967.205000000002</v>
      </c>
      <c r="C11" s="95">
        <f t="shared" ref="C11:E21" si="0">B11</f>
        <v>38967.205000000002</v>
      </c>
      <c r="D11" s="97">
        <f t="shared" si="0"/>
        <v>38967.205000000002</v>
      </c>
      <c r="E11" s="96">
        <f t="shared" si="0"/>
        <v>38967.205000000002</v>
      </c>
      <c r="F11" s="95"/>
      <c r="G11" s="97">
        <f>'Salaire globale +  Maladie'!D11</f>
        <v>1188.5099999999998</v>
      </c>
      <c r="H11" s="96">
        <f>'Salaire globale +  Maladie'!E11</f>
        <v>3117.36</v>
      </c>
      <c r="I11" s="95">
        <f>D11*0.11/100</f>
        <v>42.863925500000008</v>
      </c>
      <c r="J11" s="96">
        <f t="shared" ref="J11:J21" si="1">E11*0.75/100</f>
        <v>292.25403750000004</v>
      </c>
      <c r="K11" s="121">
        <f t="shared" ref="K11:K21" si="2">G11+H11+I11+J11</f>
        <v>4640.9879629999996</v>
      </c>
      <c r="L11" s="57"/>
      <c r="M11" s="189">
        <f t="shared" ref="M11:M21" si="3">K11</f>
        <v>4640.9879629999996</v>
      </c>
      <c r="N11" s="190"/>
      <c r="O11" s="190"/>
    </row>
    <row r="12" spans="1:15" ht="15" x14ac:dyDescent="0.25">
      <c r="A12" s="59" t="s">
        <v>45</v>
      </c>
      <c r="B12" s="96">
        <f>'Salaire globale +  Maladie'!C12</f>
        <v>46283.014999999999</v>
      </c>
      <c r="C12" s="95">
        <f t="shared" si="0"/>
        <v>46283.014999999999</v>
      </c>
      <c r="D12" s="97">
        <f t="shared" si="0"/>
        <v>46283.014999999999</v>
      </c>
      <c r="E12" s="96">
        <f t="shared" si="0"/>
        <v>46283.014999999999</v>
      </c>
      <c r="F12" s="95"/>
      <c r="G12" s="97">
        <f>'Salaire globale +  Maladie'!D12</f>
        <v>1411.6399999999999</v>
      </c>
      <c r="H12" s="96">
        <f>'Salaire globale +  Maladie'!E12</f>
        <v>3702.63</v>
      </c>
      <c r="I12" s="95">
        <f t="shared" ref="I12:I21" si="4">D12*0.11/100</f>
        <v>50.911316500000005</v>
      </c>
      <c r="J12" s="96">
        <f t="shared" si="1"/>
        <v>347.12261249999995</v>
      </c>
      <c r="K12" s="121">
        <f t="shared" si="2"/>
        <v>5512.3039290000006</v>
      </c>
      <c r="L12" s="57"/>
      <c r="M12" s="189">
        <f t="shared" si="3"/>
        <v>5512.3039290000006</v>
      </c>
      <c r="N12" s="190"/>
      <c r="O12" s="190"/>
    </row>
    <row r="13" spans="1:15" ht="15" x14ac:dyDescent="0.25">
      <c r="A13" s="59" t="s">
        <v>46</v>
      </c>
      <c r="B13" s="96">
        <f>'Salaire globale +  Maladie'!C13</f>
        <v>31434.755000000001</v>
      </c>
      <c r="C13" s="95">
        <f t="shared" si="0"/>
        <v>31434.755000000001</v>
      </c>
      <c r="D13" s="97">
        <f t="shared" si="0"/>
        <v>31434.755000000001</v>
      </c>
      <c r="E13" s="96">
        <f t="shared" si="0"/>
        <v>31434.755000000001</v>
      </c>
      <c r="F13" s="95"/>
      <c r="G13" s="97">
        <f>'Salaire globale +  Maladie'!D13</f>
        <v>958.77</v>
      </c>
      <c r="H13" s="96">
        <f>'Salaire globale +  Maladie'!E13</f>
        <v>2514.77</v>
      </c>
      <c r="I13" s="95">
        <f t="shared" si="4"/>
        <v>34.578230499999997</v>
      </c>
      <c r="J13" s="96">
        <f t="shared" si="1"/>
        <v>235.7606625</v>
      </c>
      <c r="K13" s="121">
        <f t="shared" si="2"/>
        <v>3743.8788929999996</v>
      </c>
      <c r="L13" s="57"/>
      <c r="M13" s="189">
        <f t="shared" si="3"/>
        <v>3743.8788929999996</v>
      </c>
      <c r="N13" s="190"/>
      <c r="O13" s="190"/>
    </row>
    <row r="14" spans="1:15" ht="15" x14ac:dyDescent="0.25">
      <c r="A14" s="41" t="s">
        <v>103</v>
      </c>
      <c r="B14" s="96">
        <f>'Salaire globale +  Maladie'!C14</f>
        <v>31712.794999999998</v>
      </c>
      <c r="C14" s="95">
        <f t="shared" si="0"/>
        <v>31712.794999999998</v>
      </c>
      <c r="D14" s="97">
        <f t="shared" si="0"/>
        <v>31712.794999999998</v>
      </c>
      <c r="E14" s="96">
        <f t="shared" si="0"/>
        <v>31712.794999999998</v>
      </c>
      <c r="F14" s="95"/>
      <c r="G14" s="97">
        <f>'Salaire globale +  Maladie'!D14</f>
        <v>967.25999999999988</v>
      </c>
      <c r="H14" s="96">
        <f>'Salaire globale +  Maladie'!E14</f>
        <v>2537.0100000000002</v>
      </c>
      <c r="I14" s="95">
        <f t="shared" si="4"/>
        <v>34.884074499999997</v>
      </c>
      <c r="J14" s="96">
        <f t="shared" si="1"/>
        <v>237.84596249999998</v>
      </c>
      <c r="K14" s="121">
        <f t="shared" si="2"/>
        <v>3777.0000370000002</v>
      </c>
      <c r="L14" s="57"/>
      <c r="M14" s="189">
        <f t="shared" si="3"/>
        <v>3777.0000370000002</v>
      </c>
      <c r="N14" s="190"/>
      <c r="O14" s="190"/>
    </row>
    <row r="15" spans="1:15" ht="15" x14ac:dyDescent="0.25">
      <c r="A15" s="40" t="s">
        <v>104</v>
      </c>
      <c r="B15" s="96">
        <f>'Salaire globale +  Maladie'!C15</f>
        <v>34478.165000000001</v>
      </c>
      <c r="C15" s="95">
        <f t="shared" si="0"/>
        <v>34478.165000000001</v>
      </c>
      <c r="D15" s="97">
        <f t="shared" si="0"/>
        <v>34478.165000000001</v>
      </c>
      <c r="E15" s="96">
        <f t="shared" si="0"/>
        <v>34478.165000000001</v>
      </c>
      <c r="F15" s="95"/>
      <c r="G15" s="97">
        <f>'Salaire globale +  Maladie'!D15</f>
        <v>1051.6100000000001</v>
      </c>
      <c r="H15" s="96">
        <f>'Salaire globale +  Maladie'!E15</f>
        <v>2758.2300000000005</v>
      </c>
      <c r="I15" s="95">
        <f t="shared" si="4"/>
        <v>37.925981500000006</v>
      </c>
      <c r="J15" s="96">
        <f t="shared" si="1"/>
        <v>258.58623749999998</v>
      </c>
      <c r="K15" s="121">
        <f t="shared" si="2"/>
        <v>4106.3522190000003</v>
      </c>
      <c r="L15" s="57"/>
      <c r="M15" s="189">
        <f t="shared" si="3"/>
        <v>4106.3522190000003</v>
      </c>
      <c r="N15" s="190"/>
      <c r="O15" s="190"/>
    </row>
    <row r="16" spans="1:15" ht="15" x14ac:dyDescent="0.25">
      <c r="A16" s="59" t="s">
        <v>47</v>
      </c>
      <c r="B16" s="96">
        <f>'Salaire globale +  Maladie'!C16</f>
        <v>30180.945</v>
      </c>
      <c r="C16" s="95">
        <f t="shared" si="0"/>
        <v>30180.945</v>
      </c>
      <c r="D16" s="97">
        <f t="shared" si="0"/>
        <v>30180.945</v>
      </c>
      <c r="E16" s="96">
        <f t="shared" si="0"/>
        <v>30180.945</v>
      </c>
      <c r="F16" s="95"/>
      <c r="G16" s="97">
        <f>'Salaire globale +  Maladie'!D16</f>
        <v>920.53999999999985</v>
      </c>
      <c r="H16" s="96">
        <f>'Salaire globale +  Maladie'!E16</f>
        <v>2414.46</v>
      </c>
      <c r="I16" s="95">
        <f t="shared" si="4"/>
        <v>33.199039499999998</v>
      </c>
      <c r="J16" s="96">
        <f t="shared" si="1"/>
        <v>226.35708749999998</v>
      </c>
      <c r="K16" s="121">
        <f t="shared" si="2"/>
        <v>3594.5561269999998</v>
      </c>
      <c r="L16" s="57"/>
      <c r="M16" s="189">
        <f t="shared" si="3"/>
        <v>3594.5561269999998</v>
      </c>
      <c r="N16" s="190"/>
      <c r="O16" s="190"/>
    </row>
    <row r="17" spans="1:15" ht="15" x14ac:dyDescent="0.25">
      <c r="A17" s="59" t="s">
        <v>48</v>
      </c>
      <c r="B17" s="96">
        <f>'Salaire globale +  Maladie'!C17</f>
        <v>24480.945</v>
      </c>
      <c r="C17" s="95">
        <f t="shared" si="0"/>
        <v>24480.945</v>
      </c>
      <c r="D17" s="97">
        <f t="shared" si="0"/>
        <v>24480.945</v>
      </c>
      <c r="E17" s="96">
        <f t="shared" si="0"/>
        <v>24480.945</v>
      </c>
      <c r="F17" s="95"/>
      <c r="G17" s="97">
        <f>'Salaire globale +  Maladie'!D17</f>
        <v>746.68999999999983</v>
      </c>
      <c r="H17" s="96">
        <f>'Salaire globale +  Maladie'!E17</f>
        <v>1958.46</v>
      </c>
      <c r="I17" s="95">
        <f t="shared" si="4"/>
        <v>26.929039499999998</v>
      </c>
      <c r="J17" s="96">
        <f t="shared" si="1"/>
        <v>183.60708749999998</v>
      </c>
      <c r="K17" s="121">
        <f t="shared" si="2"/>
        <v>2915.6861269999995</v>
      </c>
      <c r="L17" s="57"/>
      <c r="M17" s="189">
        <f t="shared" si="3"/>
        <v>2915.6861269999995</v>
      </c>
      <c r="N17" s="190"/>
      <c r="O17" s="190"/>
    </row>
    <row r="18" spans="1:15" ht="15" x14ac:dyDescent="0.25">
      <c r="A18" s="59" t="s">
        <v>49</v>
      </c>
      <c r="B18" s="96">
        <f>'Salaire globale +  Maladie'!C18</f>
        <v>21568.190000000002</v>
      </c>
      <c r="C18" s="95">
        <f t="shared" si="0"/>
        <v>21568.190000000002</v>
      </c>
      <c r="D18" s="97">
        <f t="shared" si="0"/>
        <v>21568.190000000002</v>
      </c>
      <c r="E18" s="96">
        <f t="shared" si="0"/>
        <v>21568.190000000002</v>
      </c>
      <c r="F18" s="95"/>
      <c r="G18" s="97">
        <f>'Salaire globale +  Maladie'!D18</f>
        <v>657.84999999999991</v>
      </c>
      <c r="H18" s="96">
        <f>'Salaire globale +  Maladie'!E18</f>
        <v>1725.44</v>
      </c>
      <c r="I18" s="95">
        <f t="shared" si="4"/>
        <v>23.725009000000004</v>
      </c>
      <c r="J18" s="96">
        <f t="shared" si="1"/>
        <v>161.76142500000003</v>
      </c>
      <c r="K18" s="121">
        <f t="shared" si="2"/>
        <v>2568.7764340000003</v>
      </c>
      <c r="L18" s="57"/>
      <c r="M18" s="189">
        <f>K18</f>
        <v>2568.7764340000003</v>
      </c>
      <c r="N18" s="190"/>
      <c r="O18" s="190"/>
    </row>
    <row r="19" spans="1:15" ht="15" x14ac:dyDescent="0.25">
      <c r="A19" s="59" t="s">
        <v>50</v>
      </c>
      <c r="B19" s="96">
        <f>'Salaire globale +  Maladie'!C19</f>
        <v>22095.120000000003</v>
      </c>
      <c r="C19" s="95">
        <f t="shared" si="0"/>
        <v>22095.120000000003</v>
      </c>
      <c r="D19" s="97">
        <f t="shared" si="0"/>
        <v>22095.120000000003</v>
      </c>
      <c r="E19" s="96">
        <f t="shared" si="0"/>
        <v>22095.120000000003</v>
      </c>
      <c r="F19" s="95"/>
      <c r="G19" s="97">
        <f>'Salaire globale +  Maladie'!D19</f>
        <v>673.90999999999985</v>
      </c>
      <c r="H19" s="96">
        <f>'Salaire globale +  Maladie'!E19</f>
        <v>1767.6000000000001</v>
      </c>
      <c r="I19" s="95">
        <f t="shared" si="4"/>
        <v>24.304632000000002</v>
      </c>
      <c r="J19" s="96">
        <f t="shared" si="1"/>
        <v>165.71340000000004</v>
      </c>
      <c r="K19" s="121">
        <f t="shared" si="2"/>
        <v>2631.5280320000002</v>
      </c>
      <c r="L19" s="57"/>
      <c r="M19" s="189">
        <f t="shared" si="3"/>
        <v>2631.5280320000002</v>
      </c>
      <c r="N19" s="190"/>
      <c r="O19" s="190"/>
    </row>
    <row r="20" spans="1:15" ht="15" x14ac:dyDescent="0.25">
      <c r="A20" s="59" t="s">
        <v>51</v>
      </c>
      <c r="B20" s="96">
        <f>'Salaire globale +  Maladie'!C20</f>
        <v>20295.120000000003</v>
      </c>
      <c r="C20" s="95">
        <f t="shared" si="0"/>
        <v>20295.120000000003</v>
      </c>
      <c r="D20" s="97">
        <f t="shared" si="0"/>
        <v>20295.120000000003</v>
      </c>
      <c r="E20" s="96">
        <f t="shared" si="0"/>
        <v>20295.120000000003</v>
      </c>
      <c r="F20" s="95"/>
      <c r="G20" s="97">
        <f>'Salaire globale +  Maladie'!D20</f>
        <v>619.00999999999988</v>
      </c>
      <c r="H20" s="96">
        <f>'Salaire globale +  Maladie'!E20</f>
        <v>1623.6000000000001</v>
      </c>
      <c r="I20" s="95">
        <f t="shared" si="4"/>
        <v>22.324632000000001</v>
      </c>
      <c r="J20" s="96">
        <f t="shared" si="1"/>
        <v>152.21340000000001</v>
      </c>
      <c r="K20" s="121">
        <f t="shared" si="2"/>
        <v>2417.1480320000001</v>
      </c>
      <c r="L20" s="57"/>
      <c r="M20" s="189">
        <f t="shared" si="3"/>
        <v>2417.1480320000001</v>
      </c>
      <c r="N20" s="190"/>
      <c r="O20" s="190"/>
    </row>
    <row r="21" spans="1:15" ht="15.75" thickBot="1" x14ac:dyDescent="0.3">
      <c r="A21" s="59" t="s">
        <v>52</v>
      </c>
      <c r="B21" s="96">
        <f>'Salaire globale +  Maladie'!C21</f>
        <v>18395.13</v>
      </c>
      <c r="C21" s="95">
        <f t="shared" si="0"/>
        <v>18395.13</v>
      </c>
      <c r="D21" s="97">
        <f t="shared" si="0"/>
        <v>18395.13</v>
      </c>
      <c r="E21" s="96">
        <f t="shared" si="0"/>
        <v>18395.13</v>
      </c>
      <c r="F21" s="95"/>
      <c r="G21" s="97">
        <f>'Salaire globale +  Maladie'!D21</f>
        <v>561.05999999999983</v>
      </c>
      <c r="H21" s="96">
        <f>'Salaire globale +  Maladie'!E21</f>
        <v>1471.6000000000001</v>
      </c>
      <c r="I21" s="95">
        <f t="shared" si="4"/>
        <v>20.234643000000002</v>
      </c>
      <c r="J21" s="96">
        <f t="shared" si="1"/>
        <v>137.96347499999999</v>
      </c>
      <c r="K21" s="121">
        <f t="shared" si="2"/>
        <v>2190.8581179999996</v>
      </c>
      <c r="L21" s="57"/>
      <c r="M21" s="189">
        <f t="shared" si="3"/>
        <v>2190.8581179999996</v>
      </c>
      <c r="N21" s="190"/>
      <c r="O21" s="190"/>
    </row>
    <row r="22" spans="1:15" ht="15.75" thickBot="1" x14ac:dyDescent="0.3">
      <c r="A22" s="60" t="s">
        <v>57</v>
      </c>
      <c r="B22" s="98">
        <f>SUM(B10:B21)</f>
        <v>355304.18</v>
      </c>
      <c r="C22" s="98">
        <f>SUM(C10:C21)</f>
        <v>355304.18</v>
      </c>
      <c r="D22" s="98">
        <f>SUM(D10:D21)</f>
        <v>355304.18</v>
      </c>
      <c r="E22" s="99">
        <f>SUM(E10:E21)</f>
        <v>355304.18</v>
      </c>
      <c r="F22" s="100"/>
      <c r="G22" s="101">
        <f t="shared" ref="G22:K22" si="5">SUM(G10:G21)</f>
        <v>10836.96</v>
      </c>
      <c r="H22" s="109">
        <f t="shared" si="5"/>
        <v>28424.169999999995</v>
      </c>
      <c r="I22" s="117">
        <f t="shared" si="5"/>
        <v>390.83459800000003</v>
      </c>
      <c r="J22" s="110">
        <f t="shared" si="5"/>
        <v>2664.7813500000002</v>
      </c>
      <c r="K22" s="110">
        <f t="shared" si="5"/>
        <v>42316.745948000003</v>
      </c>
      <c r="L22" s="61"/>
      <c r="M22" s="188">
        <f>SUM(M10:M21)</f>
        <v>42316.745948000003</v>
      </c>
      <c r="N22" s="188"/>
      <c r="O22" s="188"/>
    </row>
    <row r="25" spans="1:15" ht="15" x14ac:dyDescent="0.25">
      <c r="A25" s="62"/>
      <c r="B25" s="62"/>
      <c r="C25" s="62"/>
      <c r="D25" s="62"/>
      <c r="E25" s="62"/>
      <c r="F25" s="62"/>
      <c r="G25" s="62"/>
      <c r="H25" s="63"/>
      <c r="I25" s="63"/>
      <c r="J25" s="63"/>
      <c r="K25" s="63"/>
      <c r="L25" s="57"/>
    </row>
    <row r="26" spans="1:15" ht="15" x14ac:dyDescent="0.25">
      <c r="A26" s="62"/>
      <c r="B26" s="62"/>
      <c r="C26" s="62"/>
      <c r="D26" s="62"/>
      <c r="E26" s="62"/>
      <c r="F26" s="62"/>
      <c r="G26" s="62"/>
      <c r="H26" s="55"/>
      <c r="I26" s="55"/>
      <c r="K26" s="62"/>
      <c r="L26" s="64"/>
      <c r="M26" s="65"/>
      <c r="N26" s="65"/>
    </row>
    <row r="27" spans="1:15" ht="15" x14ac:dyDescent="0.25">
      <c r="A27" s="57"/>
      <c r="B27" s="55"/>
      <c r="C27" s="55"/>
      <c r="D27" s="55"/>
      <c r="E27" s="55"/>
      <c r="F27" s="55"/>
      <c r="G27" s="55"/>
      <c r="H27" s="66"/>
      <c r="I27" s="66"/>
      <c r="J27" s="55"/>
      <c r="K27" s="55"/>
    </row>
    <row r="28" spans="1:15" ht="15" x14ac:dyDescent="0.25">
      <c r="A28" s="57"/>
      <c r="B28" s="55"/>
      <c r="C28" s="55"/>
      <c r="D28" s="55"/>
      <c r="E28" s="55"/>
      <c r="F28" s="55"/>
      <c r="G28" s="55"/>
      <c r="H28" s="66"/>
      <c r="I28" s="66"/>
      <c r="J28" s="55"/>
      <c r="K28" s="55"/>
    </row>
    <row r="29" spans="1:15" ht="15" x14ac:dyDescent="0.25">
      <c r="A29" s="57"/>
      <c r="B29" s="55"/>
      <c r="C29" s="55"/>
      <c r="D29" s="55"/>
      <c r="E29" s="55"/>
      <c r="F29" s="55"/>
      <c r="G29" s="55"/>
      <c r="H29" s="66"/>
      <c r="I29" s="66"/>
      <c r="J29" s="55"/>
      <c r="K29" s="55"/>
    </row>
    <row r="30" spans="1:15" ht="15" x14ac:dyDescent="0.25">
      <c r="A30" s="57"/>
      <c r="B30" s="55"/>
      <c r="C30" s="55"/>
      <c r="D30" s="55"/>
      <c r="E30" s="55"/>
      <c r="F30" s="55"/>
      <c r="G30" s="55"/>
      <c r="H30" s="66"/>
      <c r="I30" s="66"/>
      <c r="J30" s="55"/>
      <c r="K30" s="55"/>
    </row>
    <row r="31" spans="1:15" ht="15" x14ac:dyDescent="0.25">
      <c r="A31" s="67"/>
      <c r="B31" s="55"/>
      <c r="C31" s="55"/>
      <c r="D31" s="55"/>
      <c r="E31" s="55"/>
      <c r="F31" s="55"/>
      <c r="G31" s="55"/>
      <c r="H31" s="66"/>
      <c r="I31" s="66"/>
      <c r="J31" s="55"/>
      <c r="K31" s="55"/>
    </row>
    <row r="32" spans="1:15" ht="15" x14ac:dyDescent="0.25">
      <c r="A32" s="57"/>
      <c r="B32" s="55"/>
      <c r="C32" s="55"/>
      <c r="D32" s="55"/>
      <c r="E32" s="55"/>
      <c r="F32" s="55"/>
      <c r="G32" s="55"/>
      <c r="H32" s="66"/>
      <c r="I32" s="66"/>
      <c r="J32" s="55"/>
      <c r="K32" s="55"/>
    </row>
    <row r="33" spans="1:11" ht="15" x14ac:dyDescent="0.25">
      <c r="A33" s="57"/>
      <c r="B33" s="55"/>
      <c r="C33" s="55"/>
      <c r="D33" s="55"/>
      <c r="E33" s="55"/>
      <c r="F33" s="55"/>
      <c r="G33" s="55"/>
      <c r="H33" s="66"/>
      <c r="I33" s="66"/>
      <c r="J33" s="55"/>
      <c r="K33" s="55"/>
    </row>
    <row r="34" spans="1:11" ht="15" x14ac:dyDescent="0.25">
      <c r="A34" s="57"/>
      <c r="B34" s="55"/>
      <c r="C34" s="55"/>
      <c r="D34" s="55"/>
      <c r="E34" s="55"/>
      <c r="F34" s="55"/>
      <c r="G34" s="55"/>
      <c r="H34" s="66"/>
      <c r="I34" s="66"/>
      <c r="J34" s="55"/>
      <c r="K34" s="55"/>
    </row>
    <row r="35" spans="1:11" ht="15" x14ac:dyDescent="0.25">
      <c r="A35" s="57"/>
      <c r="B35" s="55"/>
      <c r="C35" s="55"/>
      <c r="D35" s="55"/>
      <c r="E35" s="55"/>
      <c r="F35" s="55"/>
      <c r="G35" s="55"/>
      <c r="H35" s="66"/>
      <c r="I35" s="66"/>
      <c r="J35" s="55"/>
      <c r="K35" s="55"/>
    </row>
    <row r="36" spans="1:11" ht="15" x14ac:dyDescent="0.25">
      <c r="A36" s="57"/>
      <c r="B36" s="55"/>
      <c r="C36" s="55"/>
      <c r="D36" s="55"/>
      <c r="E36" s="55"/>
      <c r="F36" s="55"/>
      <c r="G36" s="55"/>
      <c r="H36" s="66"/>
      <c r="I36" s="66"/>
      <c r="J36" s="55"/>
      <c r="K36" s="55"/>
    </row>
    <row r="37" spans="1:11" ht="15" x14ac:dyDescent="0.25">
      <c r="A37" s="57"/>
      <c r="B37" s="55"/>
      <c r="C37" s="55"/>
      <c r="D37" s="55"/>
      <c r="E37" s="55"/>
      <c r="F37" s="55"/>
      <c r="G37" s="55"/>
      <c r="H37" s="66"/>
      <c r="I37" s="66"/>
      <c r="J37" s="55"/>
      <c r="K37" s="55"/>
    </row>
    <row r="38" spans="1:11" ht="15" x14ac:dyDescent="0.25">
      <c r="A38" s="57"/>
      <c r="B38" s="55"/>
      <c r="C38" s="55"/>
      <c r="D38" s="55"/>
      <c r="E38" s="55"/>
      <c r="F38" s="55"/>
      <c r="G38" s="55"/>
      <c r="H38" s="66"/>
      <c r="I38" s="66"/>
      <c r="J38" s="55"/>
      <c r="K38" s="55"/>
    </row>
    <row r="39" spans="1:11" ht="15" x14ac:dyDescent="0.25">
      <c r="A39" s="50"/>
      <c r="B39" s="63"/>
      <c r="C39" s="63"/>
      <c r="D39" s="63"/>
      <c r="E39" s="63"/>
      <c r="F39" s="63"/>
      <c r="G39" s="63"/>
      <c r="H39" s="49"/>
      <c r="I39" s="49"/>
      <c r="J39" s="63"/>
      <c r="K39" s="63"/>
    </row>
  </sheetData>
  <sheetProtection selectLockedCells="1" selectUnlockedCells="1"/>
  <mergeCells count="22">
    <mergeCell ref="M10:O10"/>
    <mergeCell ref="B2:B3"/>
    <mergeCell ref="D2:D3"/>
    <mergeCell ref="E2:J3"/>
    <mergeCell ref="M8:O8"/>
    <mergeCell ref="M9:O9"/>
    <mergeCell ref="A4:C4"/>
    <mergeCell ref="A5:C5"/>
    <mergeCell ref="A6:C6"/>
    <mergeCell ref="A7:C7"/>
    <mergeCell ref="M22:O22"/>
    <mergeCell ref="M11:O11"/>
    <mergeCell ref="M12:O12"/>
    <mergeCell ref="M13:O13"/>
    <mergeCell ref="M14:O14"/>
    <mergeCell ref="M15:O15"/>
    <mergeCell ref="M16:O16"/>
    <mergeCell ref="M17:O17"/>
    <mergeCell ref="M18:O18"/>
    <mergeCell ref="M19:O19"/>
    <mergeCell ref="M20:O20"/>
    <mergeCell ref="M21:O21"/>
  </mergeCells>
  <pageMargins left="0" right="0" top="1.0629921259842521" bottom="7.874015748031496E-2" header="0.78740157480314965" footer="0"/>
  <pageSetup paperSize="9" scale="85" firstPageNumber="0" orientation="landscape" r:id="rId1"/>
  <headerFooter alignWithMargins="0">
    <oddHeader>&amp;C&amp;"Times New Roman,Normal"&amp;12&amp;A</oddHeader>
    <oddFooter>&amp;C&amp;"Times New Roman,Normal"&amp;12Page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Miodrag MILIC</vt:lpstr>
      <vt:lpstr>BERTHE Alexandra</vt:lpstr>
      <vt:lpstr>SANDRI Sandro</vt:lpstr>
      <vt:lpstr>JAUD Jean Paul</vt:lpstr>
      <vt:lpstr>REBELO MATOS Daniel Filipe</vt:lpstr>
      <vt:lpstr>BALDE Binta</vt:lpstr>
      <vt:lpstr>Omigie Evbaguehize Stella</vt:lpstr>
      <vt:lpstr>BEZGUBOV Tatiana</vt:lpstr>
      <vt:lpstr>RIFFAUD Jean François </vt:lpstr>
      <vt:lpstr>BROERING Lucas José </vt:lpstr>
      <vt:lpstr>Salaire globale +  Maladie</vt:lpstr>
      <vt:lpstr>Part Patronales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Advensys Conseil</dc:creator>
  <cp:lastModifiedBy>Gabriela Fonseca</cp:lastModifiedBy>
  <cp:lastPrinted>2021-04-09T14:17:25Z</cp:lastPrinted>
  <dcterms:created xsi:type="dcterms:W3CDTF">2016-10-05T08:55:42Z</dcterms:created>
  <dcterms:modified xsi:type="dcterms:W3CDTF">2025-02-18T08:49:06Z</dcterms:modified>
</cp:coreProperties>
</file>