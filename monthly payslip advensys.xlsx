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Advensys Conseil\Groupe Advensys Luxembourg S.A 1\9-Salaires\BS-2025\"/>
    </mc:Choice>
  </mc:AlternateContent>
  <xr:revisionPtr revIDLastSave="0" documentId="13_ncr:1_{312902DF-3661-4919-800B-F835230F6D1A}" xr6:coauthVersionLast="47" xr6:coauthVersionMax="47" xr10:uidLastSave="{00000000-0000-0000-0000-000000000000}"/>
  <bookViews>
    <workbookView xWindow="-120" yWindow="-120" windowWidth="24240" windowHeight="13020" activeTab="8" xr2:uid="{EC095F8F-30C2-449B-9AB3-A6761F6872EF}"/>
  </bookViews>
  <sheets>
    <sheet name="janvier" sheetId="1" r:id="rId1"/>
    <sheet name="février" sheetId="2" r:id="rId2"/>
    <sheet name="mars" sheetId="5" r:id="rId3"/>
    <sheet name="Avril" sheetId="6" r:id="rId4"/>
    <sheet name="mai" sheetId="8" r:id="rId5"/>
    <sheet name="juin" sheetId="9" r:id="rId6"/>
    <sheet name="juillet" sheetId="10" r:id="rId7"/>
    <sheet name="aout" sheetId="11" r:id="rId8"/>
    <sheet name="septembre" sheetId="12" r:id="rId9"/>
    <sheet name="octobre" sheetId="13" r:id="rId10"/>
    <sheet name="novembre" sheetId="14" r:id="rId11"/>
    <sheet name="décembre" sheetId="15" r:id="rId12"/>
  </sheets>
  <externalReferences>
    <externalReference r:id="rId1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6" i="12" l="1"/>
  <c r="D25" i="12"/>
  <c r="D24" i="12"/>
  <c r="D23" i="12"/>
  <c r="G46" i="10"/>
  <c r="F19" i="10"/>
  <c r="D59" i="6" l="1"/>
  <c r="D58" i="6"/>
  <c r="D26" i="9"/>
  <c r="B18" i="9"/>
  <c r="D26" i="8"/>
  <c r="D50" i="8"/>
  <c r="G44" i="6"/>
  <c r="D46" i="6"/>
  <c r="D40" i="1"/>
  <c r="D39" i="1"/>
  <c r="D38" i="1"/>
  <c r="D40" i="5"/>
  <c r="D39" i="5"/>
  <c r="D38" i="5"/>
  <c r="D37" i="6"/>
  <c r="D37" i="5" l="1"/>
  <c r="D26" i="2"/>
  <c r="B50" i="2" l="1"/>
  <c r="D50" i="1"/>
  <c r="B10" i="1"/>
  <c r="B9" i="1"/>
  <c r="B8" i="1"/>
  <c r="B7" i="1"/>
  <c r="F11" i="1"/>
  <c r="F10" i="1"/>
  <c r="F9" i="1"/>
  <c r="F7" i="1"/>
  <c r="F6" i="1"/>
  <c r="F5" i="1"/>
  <c r="B49" i="2" l="1"/>
  <c r="B49" i="5" s="1"/>
  <c r="B50" i="6" s="1"/>
  <c r="B48" i="8" s="1"/>
  <c r="B48" i="9" s="1"/>
  <c r="B51" i="10" s="1"/>
  <c r="B50" i="11" s="1"/>
  <c r="B48" i="12" s="1"/>
  <c r="B48" i="13" s="1"/>
  <c r="B48" i="14" s="1"/>
  <c r="B48" i="15" s="1"/>
  <c r="B48" i="2"/>
  <c r="B48" i="5" s="1"/>
  <c r="B49" i="6" s="1"/>
  <c r="B47" i="8" s="1"/>
  <c r="B47" i="9" s="1"/>
  <c r="B50" i="10" s="1"/>
  <c r="B49" i="11" s="1"/>
  <c r="B47" i="12" s="1"/>
  <c r="B47" i="13" s="1"/>
  <c r="B47" i="14" s="1"/>
  <c r="B47" i="15" s="1"/>
  <c r="B49" i="1"/>
  <c r="B50" i="5" s="1"/>
  <c r="B51" i="6" s="1"/>
  <c r="B49" i="8" s="1"/>
  <c r="B49" i="9" s="1"/>
  <c r="B52" i="10" s="1"/>
  <c r="B51" i="11" s="1"/>
  <c r="B49" i="12" s="1"/>
  <c r="B49" i="13" s="1"/>
  <c r="B49" i="14" s="1"/>
  <c r="B49" i="15" s="1"/>
  <c r="B50" i="14" l="1"/>
  <c r="B50" i="13"/>
  <c r="B50" i="12"/>
  <c r="B52" i="11"/>
  <c r="B53" i="10"/>
  <c r="B50" i="9"/>
  <c r="B50" i="8"/>
  <c r="B52" i="6"/>
  <c r="B51" i="5"/>
  <c r="B51" i="2"/>
  <c r="D51" i="2" l="1"/>
  <c r="D50" i="5" l="1"/>
  <c r="D52" i="6" s="1"/>
  <c r="D50" i="9" s="1"/>
  <c r="D53" i="10" s="1"/>
  <c r="D52" i="11" s="1"/>
  <c r="D50" i="12" s="1"/>
  <c r="D50" i="13" s="1"/>
  <c r="D50" i="14" s="1"/>
  <c r="D50" i="15" s="1"/>
  <c r="B17" i="8"/>
  <c r="C16" i="1"/>
  <c r="G33" i="1"/>
  <c r="G32" i="1"/>
  <c r="G31" i="1"/>
  <c r="G30" i="1"/>
  <c r="G29" i="1"/>
  <c r="B16" i="1"/>
  <c r="D16" i="1" l="1"/>
  <c r="D20" i="1" s="1"/>
  <c r="B24" i="2"/>
  <c r="B24" i="5" s="1"/>
  <c r="B24" i="6" s="1"/>
  <c r="B24" i="8" s="1"/>
  <c r="B24" i="9" s="1"/>
  <c r="B26" i="10" s="1"/>
  <c r="B25" i="2"/>
  <c r="B25" i="5" s="1"/>
  <c r="B25" i="6" s="1"/>
  <c r="B25" i="8" s="1"/>
  <c r="B25" i="9" s="1"/>
  <c r="B27" i="10" s="1"/>
  <c r="B26" i="2"/>
  <c r="B26" i="5" s="1"/>
  <c r="B23" i="2"/>
  <c r="B23" i="5" s="1"/>
  <c r="B23" i="6" s="1"/>
  <c r="B23" i="8" s="1"/>
  <c r="B23" i="9" s="1"/>
  <c r="B25" i="10" s="1"/>
  <c r="B23" i="11" s="1"/>
  <c r="B23" i="12" s="1"/>
  <c r="B23" i="13" s="1"/>
  <c r="B23" i="14" s="1"/>
  <c r="B23" i="15" s="1"/>
  <c r="D31" i="2"/>
  <c r="D31" i="5" s="1"/>
  <c r="D31" i="6" s="1"/>
  <c r="D31" i="8" s="1"/>
  <c r="D31" i="9" s="1"/>
  <c r="D33" i="10" s="1"/>
  <c r="D31" i="11" s="1"/>
  <c r="D31" i="12" s="1"/>
  <c r="D31" i="13" s="1"/>
  <c r="D31" i="14" s="1"/>
  <c r="D31" i="15" s="1"/>
  <c r="D32" i="2"/>
  <c r="D32" i="5" s="1"/>
  <c r="D32" i="6" s="1"/>
  <c r="D32" i="8" s="1"/>
  <c r="D32" i="9" s="1"/>
  <c r="D34" i="10" s="1"/>
  <c r="D32" i="11" s="1"/>
  <c r="D32" i="12" s="1"/>
  <c r="D32" i="13" s="1"/>
  <c r="D32" i="14" s="1"/>
  <c r="D32" i="15" s="1"/>
  <c r="D33" i="2"/>
  <c r="D33" i="5" s="1"/>
  <c r="D33" i="6" s="1"/>
  <c r="D33" i="8" s="1"/>
  <c r="D33" i="9" s="1"/>
  <c r="D35" i="10" s="1"/>
  <c r="D33" i="11" s="1"/>
  <c r="D33" i="12" s="1"/>
  <c r="D33" i="13" s="1"/>
  <c r="D33" i="14" s="1"/>
  <c r="D33" i="15" s="1"/>
  <c r="D30" i="2"/>
  <c r="D50" i="2"/>
  <c r="G51" i="2"/>
  <c r="G50" i="5" s="1"/>
  <c r="G52" i="6" s="1"/>
  <c r="G50" i="8" s="1"/>
  <c r="G50" i="9" s="1"/>
  <c r="G50" i="2"/>
  <c r="G49" i="5" s="1"/>
  <c r="G51" i="6" s="1"/>
  <c r="G49" i="8" s="1"/>
  <c r="G49" i="2"/>
  <c r="G48" i="5" s="1"/>
  <c r="G50" i="6" s="1"/>
  <c r="G48" i="8" s="1"/>
  <c r="G48" i="9" s="1"/>
  <c r="F10" i="2"/>
  <c r="F10" i="5" s="1"/>
  <c r="F10" i="6" s="1"/>
  <c r="F10" i="8" s="1"/>
  <c r="F10" i="9" s="1"/>
  <c r="F10" i="10" s="1"/>
  <c r="F10" i="11" s="1"/>
  <c r="F10" i="12" s="1"/>
  <c r="F10" i="13" s="1"/>
  <c r="F10" i="14" s="1"/>
  <c r="F10" i="15" s="1"/>
  <c r="F11" i="2"/>
  <c r="F11" i="5" s="1"/>
  <c r="F11" i="6" s="1"/>
  <c r="F11" i="8" s="1"/>
  <c r="F11" i="9" s="1"/>
  <c r="F11" i="10" s="1"/>
  <c r="F11" i="11" s="1"/>
  <c r="F11" i="12" s="1"/>
  <c r="F11" i="13" s="1"/>
  <c r="F11" i="14" s="1"/>
  <c r="F11" i="15" s="1"/>
  <c r="F9" i="2"/>
  <c r="F9" i="5" s="1"/>
  <c r="F9" i="6" s="1"/>
  <c r="F9" i="8" s="1"/>
  <c r="F9" i="9" s="1"/>
  <c r="F9" i="10" s="1"/>
  <c r="F9" i="11" s="1"/>
  <c r="F9" i="12" s="1"/>
  <c r="F9" i="13" s="1"/>
  <c r="F9" i="14" s="1"/>
  <c r="F9" i="15" s="1"/>
  <c r="F6" i="2"/>
  <c r="F6" i="5" s="1"/>
  <c r="F6" i="6" s="1"/>
  <c r="F6" i="8" s="1"/>
  <c r="F6" i="9" s="1"/>
  <c r="F6" i="10" s="1"/>
  <c r="F6" i="11" s="1"/>
  <c r="F6" i="12" s="1"/>
  <c r="F6" i="13" s="1"/>
  <c r="F6" i="14" s="1"/>
  <c r="F6" i="15" s="1"/>
  <c r="F7" i="2"/>
  <c r="F7" i="5" s="1"/>
  <c r="F7" i="6" s="1"/>
  <c r="F7" i="8" s="1"/>
  <c r="F7" i="9" s="1"/>
  <c r="F7" i="10" s="1"/>
  <c r="F7" i="11" s="1"/>
  <c r="F7" i="12" s="1"/>
  <c r="F7" i="13" s="1"/>
  <c r="F7" i="14" s="1"/>
  <c r="F7" i="15" s="1"/>
  <c r="F5" i="2"/>
  <c r="F5" i="5" s="1"/>
  <c r="F5" i="6" s="1"/>
  <c r="F5" i="8" s="1"/>
  <c r="F5" i="9" s="1"/>
  <c r="F5" i="10" s="1"/>
  <c r="F5" i="11" s="1"/>
  <c r="F5" i="12" s="1"/>
  <c r="F5" i="13" s="1"/>
  <c r="F5" i="14" s="1"/>
  <c r="F5" i="15" s="1"/>
  <c r="B6" i="2"/>
  <c r="B6" i="5" s="1"/>
  <c r="B7" i="2"/>
  <c r="B7" i="5" s="1"/>
  <c r="B7" i="6" s="1"/>
  <c r="B7" i="8" s="1"/>
  <c r="B7" i="9" s="1"/>
  <c r="B7" i="10" s="1"/>
  <c r="B7" i="11" s="1"/>
  <c r="B7" i="12" s="1"/>
  <c r="B7" i="13" s="1"/>
  <c r="B7" i="14" s="1"/>
  <c r="B7" i="15" s="1"/>
  <c r="B8" i="2"/>
  <c r="B8" i="5" s="1"/>
  <c r="B8" i="6" s="1"/>
  <c r="B8" i="8" s="1"/>
  <c r="B8" i="9" s="1"/>
  <c r="B8" i="10" s="1"/>
  <c r="B8" i="11" s="1"/>
  <c r="B8" i="12" s="1"/>
  <c r="B8" i="13" s="1"/>
  <c r="B8" i="14" s="1"/>
  <c r="B8" i="15" s="1"/>
  <c r="B9" i="2"/>
  <c r="B9" i="5" s="1"/>
  <c r="B9" i="6" s="1"/>
  <c r="B9" i="8" s="1"/>
  <c r="B9" i="9" s="1"/>
  <c r="B9" i="10" s="1"/>
  <c r="B9" i="11" s="1"/>
  <c r="B9" i="12" s="1"/>
  <c r="B9" i="13" s="1"/>
  <c r="B9" i="14" s="1"/>
  <c r="B9" i="15" s="1"/>
  <c r="B10" i="2"/>
  <c r="B10" i="5" s="1"/>
  <c r="B10" i="6" s="1"/>
  <c r="B10" i="8" s="1"/>
  <c r="B10" i="9" s="1"/>
  <c r="B10" i="10" s="1"/>
  <c r="B10" i="11" s="1"/>
  <c r="B10" i="12" s="1"/>
  <c r="B10" i="13" s="1"/>
  <c r="B10" i="14" s="1"/>
  <c r="B10" i="15" s="1"/>
  <c r="B5" i="2"/>
  <c r="B5" i="5" s="1"/>
  <c r="B5" i="6" s="1"/>
  <c r="B5" i="8" s="1"/>
  <c r="B5" i="9" s="1"/>
  <c r="B5" i="10" s="1"/>
  <c r="B5" i="11" s="1"/>
  <c r="B5" i="12" s="1"/>
  <c r="B5" i="13" s="1"/>
  <c r="B5" i="14" s="1"/>
  <c r="B5" i="15" s="1"/>
  <c r="F30" i="2"/>
  <c r="F31" i="2"/>
  <c r="F32" i="2"/>
  <c r="F33" i="2"/>
  <c r="B25" i="11" l="1"/>
  <c r="B25" i="12" s="1"/>
  <c r="B25" i="13" s="1"/>
  <c r="B25" i="14" s="1"/>
  <c r="B25" i="15" s="1"/>
  <c r="B24" i="11"/>
  <c r="B24" i="12" s="1"/>
  <c r="B24" i="13" s="1"/>
  <c r="B24" i="14" s="1"/>
  <c r="B24" i="15" s="1"/>
  <c r="G40" i="1"/>
  <c r="F40" i="2" s="1"/>
  <c r="G40" i="2" s="1"/>
  <c r="G39" i="1"/>
  <c r="G33" i="2"/>
  <c r="F33" i="5" s="1"/>
  <c r="G33" i="5" s="1"/>
  <c r="F33" i="6" s="1"/>
  <c r="G33" i="6" s="1"/>
  <c r="F33" i="8" s="1"/>
  <c r="G38" i="1"/>
  <c r="F38" i="2" s="1"/>
  <c r="G38" i="2" s="1"/>
  <c r="B6" i="6"/>
  <c r="B6" i="9" s="1"/>
  <c r="B6" i="10" s="1"/>
  <c r="B6" i="11" s="1"/>
  <c r="B6" i="12" s="1"/>
  <c r="B6" i="13" s="1"/>
  <c r="B6" i="14" s="1"/>
  <c r="B6" i="15" s="1"/>
  <c r="D49" i="5"/>
  <c r="D48" i="5" s="1"/>
  <c r="D49" i="2"/>
  <c r="G51" i="10"/>
  <c r="G50" i="11" s="1"/>
  <c r="G48" i="12" s="1"/>
  <c r="G48" i="13" s="1"/>
  <c r="G48" i="14" s="1"/>
  <c r="G48" i="15" s="1"/>
  <c r="G49" i="9"/>
  <c r="G52" i="10" s="1"/>
  <c r="G51" i="11" s="1"/>
  <c r="G49" i="12" s="1"/>
  <c r="G49" i="13" s="1"/>
  <c r="G49" i="14" s="1"/>
  <c r="G49" i="15" s="1"/>
  <c r="G53" i="10"/>
  <c r="G52" i="11" s="1"/>
  <c r="G50" i="12" s="1"/>
  <c r="G50" i="13" s="1"/>
  <c r="G50" i="14" s="1"/>
  <c r="G50" i="15" s="1"/>
  <c r="B26" i="6"/>
  <c r="B26" i="8" s="1"/>
  <c r="B26" i="9" s="1"/>
  <c r="B28" i="10" s="1"/>
  <c r="D26" i="1"/>
  <c r="G26" i="1" s="1"/>
  <c r="G20" i="1"/>
  <c r="D25" i="1"/>
  <c r="G25" i="1" s="1"/>
  <c r="D24" i="1"/>
  <c r="G24" i="1" s="1"/>
  <c r="D23" i="1"/>
  <c r="G32" i="2"/>
  <c r="F32" i="5" s="1"/>
  <c r="G32" i="5" s="1"/>
  <c r="F32" i="6" s="1"/>
  <c r="G32" i="6" s="1"/>
  <c r="G30" i="2"/>
  <c r="F30" i="5" s="1"/>
  <c r="D30" i="5"/>
  <c r="D30" i="6" s="1"/>
  <c r="D30" i="8" s="1"/>
  <c r="D30" i="9" s="1"/>
  <c r="D32" i="10" s="1"/>
  <c r="D30" i="11" s="1"/>
  <c r="D30" i="12" s="1"/>
  <c r="D30" i="13" s="1"/>
  <c r="D30" i="14" s="1"/>
  <c r="D30" i="15" s="1"/>
  <c r="G31" i="2"/>
  <c r="F31" i="5" s="1"/>
  <c r="G31" i="5" s="1"/>
  <c r="F31" i="6" s="1"/>
  <c r="C16" i="5"/>
  <c r="C16" i="2"/>
  <c r="B16" i="2"/>
  <c r="D51" i="6" l="1"/>
  <c r="D50" i="6" s="1"/>
  <c r="D16" i="6" s="1"/>
  <c r="B16" i="5"/>
  <c r="D16" i="5" s="1"/>
  <c r="D20" i="5" s="1"/>
  <c r="B50" i="15"/>
  <c r="B50" i="1"/>
  <c r="B26" i="11"/>
  <c r="D27" i="1"/>
  <c r="D42" i="1" s="1"/>
  <c r="G44" i="1" s="1"/>
  <c r="G23" i="1"/>
  <c r="G27" i="1" s="1"/>
  <c r="D35" i="1"/>
  <c r="G30" i="5"/>
  <c r="F30" i="6" s="1"/>
  <c r="G30" i="6" s="1"/>
  <c r="F30" i="8" s="1"/>
  <c r="G30" i="8" s="1"/>
  <c r="F39" i="2"/>
  <c r="F32" i="8"/>
  <c r="G32" i="8" s="1"/>
  <c r="F32" i="9" s="1"/>
  <c r="G32" i="9" s="1"/>
  <c r="F34" i="10" s="1"/>
  <c r="F20" i="2"/>
  <c r="F25" i="2"/>
  <c r="F26" i="2"/>
  <c r="F24" i="2"/>
  <c r="C16" i="6"/>
  <c r="D49" i="8"/>
  <c r="G31" i="6"/>
  <c r="F31" i="8" s="1"/>
  <c r="G33" i="8"/>
  <c r="F33" i="9" s="1"/>
  <c r="D16" i="2"/>
  <c r="D20" i="2" s="1"/>
  <c r="B16" i="6" l="1"/>
  <c r="D40" i="2"/>
  <c r="D39" i="2"/>
  <c r="D38" i="2"/>
  <c r="F40" i="5"/>
  <c r="G40" i="5" s="1"/>
  <c r="F40" i="6" s="1"/>
  <c r="G39" i="2"/>
  <c r="F39" i="5" s="1"/>
  <c r="G35" i="1"/>
  <c r="F35" i="2" s="1"/>
  <c r="B26" i="12"/>
  <c r="D26" i="5"/>
  <c r="G26" i="2"/>
  <c r="F26" i="5" s="1"/>
  <c r="D25" i="2"/>
  <c r="G25" i="2" s="1"/>
  <c r="F25" i="5" s="1"/>
  <c r="D24" i="2"/>
  <c r="D23" i="2"/>
  <c r="D23" i="5"/>
  <c r="D25" i="5"/>
  <c r="D24" i="5"/>
  <c r="D20" i="6"/>
  <c r="F30" i="9"/>
  <c r="G30" i="9" s="1"/>
  <c r="F32" i="10" s="1"/>
  <c r="G32" i="10" s="1"/>
  <c r="F30" i="11" s="1"/>
  <c r="G30" i="11" s="1"/>
  <c r="F30" i="12" s="1"/>
  <c r="B16" i="8"/>
  <c r="D49" i="9"/>
  <c r="D48" i="9" s="1"/>
  <c r="C16" i="8"/>
  <c r="F27" i="2"/>
  <c r="F23" i="2"/>
  <c r="G31" i="8"/>
  <c r="F31" i="9" s="1"/>
  <c r="G33" i="9"/>
  <c r="F35" i="10" s="1"/>
  <c r="G34" i="10"/>
  <c r="F32" i="11" s="1"/>
  <c r="G20" i="2"/>
  <c r="F20" i="5" s="1"/>
  <c r="G20" i="5" s="1"/>
  <c r="F20" i="6" s="1"/>
  <c r="D38" i="6" l="1"/>
  <c r="D40" i="6"/>
  <c r="G40" i="6" s="1"/>
  <c r="F40" i="8" s="1"/>
  <c r="D39" i="6"/>
  <c r="G39" i="5"/>
  <c r="F39" i="6" s="1"/>
  <c r="G26" i="5"/>
  <c r="F26" i="6" s="1"/>
  <c r="D37" i="2"/>
  <c r="G37" i="1"/>
  <c r="F37" i="2" s="1"/>
  <c r="G42" i="1"/>
  <c r="F42" i="2" s="1"/>
  <c r="D26" i="6"/>
  <c r="B26" i="13"/>
  <c r="D25" i="6"/>
  <c r="D24" i="6"/>
  <c r="D23" i="6"/>
  <c r="F38" i="5"/>
  <c r="G38" i="5" s="1"/>
  <c r="F38" i="6" s="1"/>
  <c r="G20" i="6"/>
  <c r="F20" i="8" s="1"/>
  <c r="G25" i="5"/>
  <c r="F25" i="6" s="1"/>
  <c r="D35" i="5"/>
  <c r="D27" i="5"/>
  <c r="D42" i="5" s="1"/>
  <c r="G44" i="5" s="1"/>
  <c r="B16" i="9"/>
  <c r="D52" i="10"/>
  <c r="D51" i="10" s="1"/>
  <c r="C16" i="9"/>
  <c r="D27" i="2"/>
  <c r="D20" i="8"/>
  <c r="G32" i="11"/>
  <c r="F32" i="12" s="1"/>
  <c r="G35" i="10"/>
  <c r="F33" i="11" s="1"/>
  <c r="G30" i="12"/>
  <c r="F30" i="13" s="1"/>
  <c r="G31" i="9"/>
  <c r="F33" i="10" s="1"/>
  <c r="G23" i="2"/>
  <c r="F23" i="5" s="1"/>
  <c r="G23" i="5" s="1"/>
  <c r="D35" i="2"/>
  <c r="G35" i="2" s="1"/>
  <c r="F35" i="5" s="1"/>
  <c r="G24" i="2"/>
  <c r="F24" i="5" s="1"/>
  <c r="G24" i="5" s="1"/>
  <c r="F24" i="6" s="1"/>
  <c r="D40" i="8" l="1"/>
  <c r="G40" i="8" s="1"/>
  <c r="F40" i="9" s="1"/>
  <c r="D39" i="8"/>
  <c r="D38" i="8"/>
  <c r="D42" i="2"/>
  <c r="G44" i="2" s="1"/>
  <c r="G37" i="2"/>
  <c r="F37" i="5" s="1"/>
  <c r="G37" i="5" s="1"/>
  <c r="F37" i="6" s="1"/>
  <c r="G37" i="6" s="1"/>
  <c r="F37" i="8" s="1"/>
  <c r="G37" i="8" s="1"/>
  <c r="F37" i="9" s="1"/>
  <c r="G37" i="9" s="1"/>
  <c r="F39" i="10" s="1"/>
  <c r="B26" i="14"/>
  <c r="G39" i="6"/>
  <c r="F39" i="8" s="1"/>
  <c r="D23" i="8"/>
  <c r="D24" i="8"/>
  <c r="D25" i="8"/>
  <c r="G38" i="6"/>
  <c r="F38" i="8" s="1"/>
  <c r="G26" i="6"/>
  <c r="F26" i="8" s="1"/>
  <c r="G25" i="6"/>
  <c r="F25" i="8" s="1"/>
  <c r="G27" i="2"/>
  <c r="F27" i="5" s="1"/>
  <c r="G24" i="6"/>
  <c r="F24" i="8" s="1"/>
  <c r="D35" i="6"/>
  <c r="D16" i="9"/>
  <c r="D20" i="9" s="1"/>
  <c r="D27" i="6"/>
  <c r="G35" i="5"/>
  <c r="F35" i="6" s="1"/>
  <c r="F23" i="6"/>
  <c r="G23" i="6" s="1"/>
  <c r="C16" i="10"/>
  <c r="C19" i="10" s="1"/>
  <c r="B16" i="10"/>
  <c r="D51" i="11"/>
  <c r="D50" i="11" s="1"/>
  <c r="G20" i="8"/>
  <c r="G33" i="11"/>
  <c r="F33" i="12" s="1"/>
  <c r="G33" i="10"/>
  <c r="F31" i="11" s="1"/>
  <c r="G32" i="12"/>
  <c r="F32" i="13" s="1"/>
  <c r="G30" i="13"/>
  <c r="F30" i="14" s="1"/>
  <c r="C20" i="10" l="1"/>
  <c r="D20" i="10" s="1"/>
  <c r="D19" i="10"/>
  <c r="D38" i="9"/>
  <c r="D40" i="9"/>
  <c r="D39" i="9"/>
  <c r="G40" i="9"/>
  <c r="F42" i="10" s="1"/>
  <c r="D16" i="10"/>
  <c r="D22" i="10" s="1"/>
  <c r="B26" i="15"/>
  <c r="G27" i="5"/>
  <c r="F27" i="6" s="1"/>
  <c r="G27" i="6" s="1"/>
  <c r="F27" i="8" s="1"/>
  <c r="G39" i="8"/>
  <c r="F39" i="9" s="1"/>
  <c r="G42" i="2"/>
  <c r="F42" i="5" s="1"/>
  <c r="G42" i="5" s="1"/>
  <c r="F42" i="6" s="1"/>
  <c r="D42" i="6"/>
  <c r="D25" i="9"/>
  <c r="D24" i="9"/>
  <c r="D23" i="9"/>
  <c r="G38" i="8"/>
  <c r="F38" i="9" s="1"/>
  <c r="G26" i="8"/>
  <c r="F26" i="9" s="1"/>
  <c r="G25" i="8"/>
  <c r="F25" i="9" s="1"/>
  <c r="G24" i="8"/>
  <c r="F24" i="9" s="1"/>
  <c r="G35" i="6"/>
  <c r="F35" i="8" s="1"/>
  <c r="F23" i="8"/>
  <c r="G23" i="8" s="1"/>
  <c r="D49" i="12"/>
  <c r="D48" i="12" s="1"/>
  <c r="C16" i="11"/>
  <c r="B16" i="11"/>
  <c r="D27" i="8"/>
  <c r="D42" i="8" s="1"/>
  <c r="G44" i="8" s="1"/>
  <c r="F20" i="9"/>
  <c r="G20" i="9" s="1"/>
  <c r="F22" i="10" s="1"/>
  <c r="D35" i="8"/>
  <c r="G30" i="14"/>
  <c r="F30" i="15" s="1"/>
  <c r="G30" i="15" s="1"/>
  <c r="G32" i="13"/>
  <c r="F32" i="14" s="1"/>
  <c r="G31" i="11"/>
  <c r="F31" i="12" s="1"/>
  <c r="G33" i="12"/>
  <c r="F33" i="13" s="1"/>
  <c r="D27" i="10" l="1"/>
  <c r="D26" i="10"/>
  <c r="G19" i="10"/>
  <c r="D25" i="10"/>
  <c r="D28" i="10"/>
  <c r="D40" i="10"/>
  <c r="D42" i="10"/>
  <c r="G42" i="10" s="1"/>
  <c r="F40" i="11" s="1"/>
  <c r="D41" i="10"/>
  <c r="G39" i="9"/>
  <c r="F41" i="10" s="1"/>
  <c r="G42" i="6"/>
  <c r="F42" i="8" s="1"/>
  <c r="G42" i="8" s="1"/>
  <c r="F42" i="9" s="1"/>
  <c r="G38" i="9"/>
  <c r="F40" i="10" s="1"/>
  <c r="G35" i="8"/>
  <c r="F35" i="9" s="1"/>
  <c r="G25" i="9"/>
  <c r="F27" i="10" s="1"/>
  <c r="D35" i="9"/>
  <c r="G22" i="10"/>
  <c r="F20" i="11" s="1"/>
  <c r="G26" i="9"/>
  <c r="F28" i="10" s="1"/>
  <c r="G24" i="9"/>
  <c r="F26" i="10" s="1"/>
  <c r="D27" i="9"/>
  <c r="G27" i="8"/>
  <c r="F27" i="9" s="1"/>
  <c r="F23" i="9"/>
  <c r="G23" i="9" s="1"/>
  <c r="F25" i="10" s="1"/>
  <c r="C16" i="12"/>
  <c r="D49" i="13"/>
  <c r="D48" i="13" s="1"/>
  <c r="B16" i="12"/>
  <c r="D16" i="11"/>
  <c r="D20" i="11" s="1"/>
  <c r="G32" i="14"/>
  <c r="F32" i="15" s="1"/>
  <c r="G32" i="15" s="1"/>
  <c r="G33" i="13"/>
  <c r="F33" i="14" s="1"/>
  <c r="G31" i="12"/>
  <c r="F31" i="13" s="1"/>
  <c r="D40" i="11" l="1"/>
  <c r="D39" i="11"/>
  <c r="D38" i="11"/>
  <c r="D26" i="11"/>
  <c r="G40" i="11"/>
  <c r="F40" i="12" s="1"/>
  <c r="G26" i="10"/>
  <c r="F24" i="11" s="1"/>
  <c r="G41" i="10"/>
  <c r="F39" i="11" s="1"/>
  <c r="D25" i="11"/>
  <c r="D24" i="11"/>
  <c r="D23" i="11"/>
  <c r="D42" i="9"/>
  <c r="G35" i="9"/>
  <c r="F37" i="10" s="1"/>
  <c r="G40" i="10"/>
  <c r="F38" i="11" s="1"/>
  <c r="D37" i="10"/>
  <c r="G27" i="9"/>
  <c r="F29" i="10" s="1"/>
  <c r="G28" i="10"/>
  <c r="F26" i="11" s="1"/>
  <c r="D29" i="10"/>
  <c r="D44" i="10" s="1"/>
  <c r="G27" i="10"/>
  <c r="F25" i="11" s="1"/>
  <c r="G25" i="10"/>
  <c r="F23" i="11" s="1"/>
  <c r="D16" i="12"/>
  <c r="D20" i="12" s="1"/>
  <c r="C16" i="13"/>
  <c r="D49" i="14"/>
  <c r="D48" i="14" s="1"/>
  <c r="B16" i="13"/>
  <c r="G20" i="11"/>
  <c r="F20" i="12" s="1"/>
  <c r="G33" i="14"/>
  <c r="F33" i="15" s="1"/>
  <c r="G33" i="15" s="1"/>
  <c r="G31" i="13"/>
  <c r="F31" i="14" s="1"/>
  <c r="G42" i="9" l="1"/>
  <c r="F44" i="10" s="1"/>
  <c r="G44" i="9"/>
  <c r="D39" i="12"/>
  <c r="D40" i="12"/>
  <c r="G40" i="12" s="1"/>
  <c r="F40" i="13" s="1"/>
  <c r="D38" i="12"/>
  <c r="G26" i="11"/>
  <c r="F26" i="12" s="1"/>
  <c r="G24" i="11"/>
  <c r="F24" i="12" s="1"/>
  <c r="G39" i="11"/>
  <c r="F39" i="12" s="1"/>
  <c r="G39" i="10"/>
  <c r="F37" i="11" s="1"/>
  <c r="G37" i="11" s="1"/>
  <c r="F37" i="12" s="1"/>
  <c r="G37" i="12" s="1"/>
  <c r="F37" i="13" s="1"/>
  <c r="G37" i="13" s="1"/>
  <c r="F37" i="14" s="1"/>
  <c r="G37" i="14" s="1"/>
  <c r="F37" i="15" s="1"/>
  <c r="G37" i="15" s="1"/>
  <c r="G37" i="10"/>
  <c r="F35" i="11" s="1"/>
  <c r="G38" i="11"/>
  <c r="F38" i="12" s="1"/>
  <c r="G29" i="10"/>
  <c r="F27" i="11" s="1"/>
  <c r="G20" i="12"/>
  <c r="F20" i="13" s="1"/>
  <c r="G25" i="11"/>
  <c r="F25" i="12" s="1"/>
  <c r="D16" i="13"/>
  <c r="D20" i="13" s="1"/>
  <c r="D49" i="15"/>
  <c r="D48" i="15" s="1"/>
  <c r="C16" i="14"/>
  <c r="B16" i="14"/>
  <c r="D27" i="11"/>
  <c r="D43" i="11" s="1"/>
  <c r="G45" i="11" s="1"/>
  <c r="G23" i="11"/>
  <c r="F23" i="12" s="1"/>
  <c r="D35" i="11"/>
  <c r="G31" i="14"/>
  <c r="F31" i="15" s="1"/>
  <c r="G31" i="15" s="1"/>
  <c r="D40" i="13" l="1"/>
  <c r="D39" i="13"/>
  <c r="D38" i="13"/>
  <c r="G40" i="13"/>
  <c r="F40" i="14" s="1"/>
  <c r="G24" i="12"/>
  <c r="F24" i="13" s="1"/>
  <c r="G26" i="12"/>
  <c r="F26" i="13" s="1"/>
  <c r="D26" i="13"/>
  <c r="G39" i="12"/>
  <c r="F39" i="13" s="1"/>
  <c r="D25" i="13"/>
  <c r="D24" i="13"/>
  <c r="D23" i="13"/>
  <c r="G35" i="11"/>
  <c r="F35" i="12" s="1"/>
  <c r="G38" i="12"/>
  <c r="F38" i="13" s="1"/>
  <c r="G23" i="12"/>
  <c r="F23" i="13" s="1"/>
  <c r="G25" i="12"/>
  <c r="F25" i="13" s="1"/>
  <c r="D35" i="12"/>
  <c r="D27" i="12"/>
  <c r="D42" i="12" s="1"/>
  <c r="G44" i="12" s="1"/>
  <c r="G20" i="13"/>
  <c r="F20" i="14" s="1"/>
  <c r="C16" i="15"/>
  <c r="B16" i="15"/>
  <c r="G27" i="11"/>
  <c r="F27" i="12" s="1"/>
  <c r="D16" i="14"/>
  <c r="D20" i="14" s="1"/>
  <c r="G44" i="10" l="1"/>
  <c r="F43" i="11" s="1"/>
  <c r="D40" i="14"/>
  <c r="G40" i="14" s="1"/>
  <c r="F40" i="15" s="1"/>
  <c r="D39" i="14"/>
  <c r="D38" i="14"/>
  <c r="G24" i="13"/>
  <c r="F24" i="14" s="1"/>
  <c r="G26" i="13"/>
  <c r="F26" i="14" s="1"/>
  <c r="D26" i="14"/>
  <c r="G39" i="13"/>
  <c r="F39" i="14" s="1"/>
  <c r="G23" i="13"/>
  <c r="F23" i="14" s="1"/>
  <c r="G38" i="13"/>
  <c r="F38" i="14" s="1"/>
  <c r="D23" i="14"/>
  <c r="D24" i="14"/>
  <c r="D25" i="14"/>
  <c r="G35" i="12"/>
  <c r="F35" i="13" s="1"/>
  <c r="G25" i="13"/>
  <c r="F25" i="14" s="1"/>
  <c r="G27" i="12"/>
  <c r="F27" i="13" s="1"/>
  <c r="D35" i="13"/>
  <c r="D27" i="13"/>
  <c r="D42" i="13" s="1"/>
  <c r="D16" i="15"/>
  <c r="D20" i="15" s="1"/>
  <c r="G43" i="11"/>
  <c r="F42" i="12" s="1"/>
  <c r="G42" i="12" s="1"/>
  <c r="F42" i="13" s="1"/>
  <c r="G20" i="14"/>
  <c r="F20" i="15" s="1"/>
  <c r="D39" i="15" l="1"/>
  <c r="D40" i="15"/>
  <c r="D38" i="15"/>
  <c r="G40" i="15"/>
  <c r="G24" i="14"/>
  <c r="F24" i="15" s="1"/>
  <c r="G26" i="14"/>
  <c r="F26" i="15" s="1"/>
  <c r="D26" i="15"/>
  <c r="G39" i="14"/>
  <c r="F39" i="15" s="1"/>
  <c r="G38" i="14"/>
  <c r="F38" i="15" s="1"/>
  <c r="G25" i="14"/>
  <c r="F25" i="15" s="1"/>
  <c r="D23" i="15"/>
  <c r="D25" i="15"/>
  <c r="D24" i="15"/>
  <c r="G35" i="13"/>
  <c r="F35" i="14" s="1"/>
  <c r="G44" i="13"/>
  <c r="G27" i="13"/>
  <c r="F27" i="14" s="1"/>
  <c r="G42" i="13"/>
  <c r="F42" i="14" s="1"/>
  <c r="G20" i="15"/>
  <c r="D27" i="14"/>
  <c r="D42" i="14" s="1"/>
  <c r="G23" i="14"/>
  <c r="F23" i="15" s="1"/>
  <c r="D35" i="14"/>
  <c r="G24" i="15" l="1"/>
  <c r="G26" i="15"/>
  <c r="G39" i="15"/>
  <c r="G38" i="15"/>
  <c r="G25" i="15"/>
  <c r="G35" i="14"/>
  <c r="F35" i="15" s="1"/>
  <c r="G23" i="15"/>
  <c r="D27" i="15"/>
  <c r="D42" i="15" s="1"/>
  <c r="D35" i="15"/>
  <c r="G27" i="14"/>
  <c r="F27" i="15" s="1"/>
  <c r="G35" i="15" l="1"/>
  <c r="G44" i="15"/>
  <c r="G27" i="15"/>
  <c r="G44" i="14"/>
  <c r="G42" i="14"/>
  <c r="F42" i="15" s="1"/>
  <c r="G42" i="15" s="1"/>
</calcChain>
</file>

<file path=xl/sharedStrings.xml><?xml version="1.0" encoding="utf-8"?>
<sst xmlns="http://schemas.openxmlformats.org/spreadsheetml/2006/main" count="675" uniqueCount="74">
  <si>
    <t>N° Salarié :</t>
  </si>
  <si>
    <t xml:space="preserve">Indice : </t>
  </si>
  <si>
    <t>Emploi :</t>
  </si>
  <si>
    <t xml:space="preserve">Date d'entrée : </t>
  </si>
  <si>
    <t>Matricule assuré :</t>
  </si>
  <si>
    <t>Matricule employeur :</t>
  </si>
  <si>
    <t>Période :</t>
  </si>
  <si>
    <t>Les montants sont exprimées en Euros.</t>
  </si>
  <si>
    <t>Désignation</t>
  </si>
  <si>
    <t>Valeur</t>
  </si>
  <si>
    <t>Total</t>
  </si>
  <si>
    <t>Cumuls M-1</t>
  </si>
  <si>
    <t>Appointement</t>
  </si>
  <si>
    <t>Total brut</t>
  </si>
  <si>
    <t>Cotisation</t>
  </si>
  <si>
    <t>Assurance Maladie</t>
  </si>
  <si>
    <t>A-M Majoration espèce</t>
  </si>
  <si>
    <t>Assurance Pension</t>
  </si>
  <si>
    <t>Assurance dépendance</t>
  </si>
  <si>
    <t>Total Cotisation</t>
  </si>
  <si>
    <t>Deduction</t>
  </si>
  <si>
    <t>FD</t>
  </si>
  <si>
    <t>AC</t>
  </si>
  <si>
    <t>FFO</t>
  </si>
  <si>
    <t>FDS</t>
  </si>
  <si>
    <t>Total Imposable</t>
  </si>
  <si>
    <t>IMPOT</t>
  </si>
  <si>
    <t>CIS-CIP-CIM</t>
  </si>
  <si>
    <t>NET</t>
  </si>
  <si>
    <t xml:space="preserve">  </t>
  </si>
  <si>
    <t>NET A PAYER</t>
  </si>
  <si>
    <t>Congés (H)</t>
  </si>
  <si>
    <t>Rémunération</t>
  </si>
  <si>
    <t>Fiche d'impôts</t>
  </si>
  <si>
    <t>Salaire mensuel</t>
  </si>
  <si>
    <t>N° de carte</t>
  </si>
  <si>
    <t>Pris :</t>
  </si>
  <si>
    <t>Heures</t>
  </si>
  <si>
    <t>Classe</t>
  </si>
  <si>
    <t>Solde :</t>
  </si>
  <si>
    <t>Salaire horaire</t>
  </si>
  <si>
    <t>Taux</t>
  </si>
  <si>
    <t>CONSERVEZ CE BULLETIN DE PAIE SANS LIMITATION DE DUREE</t>
  </si>
  <si>
    <t>Jours fériée</t>
  </si>
  <si>
    <t>CISSM</t>
  </si>
  <si>
    <t>DECOMPTE SALAIRE/TRAITEMENT</t>
  </si>
  <si>
    <t>Quantité (heures)</t>
  </si>
  <si>
    <t>Février 2024</t>
  </si>
  <si>
    <t>Absences Maladie (H)</t>
  </si>
  <si>
    <t>Mars 2024</t>
  </si>
  <si>
    <t>Avril 2024</t>
  </si>
  <si>
    <t>Mai 2024</t>
  </si>
  <si>
    <t>Octobre 2024</t>
  </si>
  <si>
    <t>Novembre 2024</t>
  </si>
  <si>
    <t>Décembre 2024</t>
  </si>
  <si>
    <t>Légaux</t>
  </si>
  <si>
    <t>Report</t>
  </si>
  <si>
    <t>-</t>
  </si>
  <si>
    <t>CI-CO2</t>
  </si>
  <si>
    <t>Janvier 2025</t>
  </si>
  <si>
    <t>Chéque repas</t>
  </si>
  <si>
    <t>Avance sur salaire</t>
  </si>
  <si>
    <t>D608388-2022</t>
  </si>
  <si>
    <t>Rectif CISSM/CO</t>
  </si>
  <si>
    <t>Cotisation chambre des salariés</t>
  </si>
  <si>
    <t xml:space="preserve">Rectif credit d'impots mars + avril </t>
  </si>
  <si>
    <t>968,04</t>
  </si>
  <si>
    <t>Juin 2025</t>
  </si>
  <si>
    <t>Juillet 2025</t>
  </si>
  <si>
    <t>Heures Suppl. (H)</t>
  </si>
  <si>
    <t>H-S part majorée 40% (H)</t>
  </si>
  <si>
    <t>Aout 2025</t>
  </si>
  <si>
    <t>Frais kilometrique</t>
  </si>
  <si>
    <t>Septembre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</si>
</sst>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10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6" fillId="0" borderId="0" xfId="0" applyFont="1"/>
    <xf numFmtId="0" fontId="5" fillId="0" borderId="4" xfId="0" applyFont="1" applyBorder="1"/>
    <xf numFmtId="2" fontId="4" fillId="0" borderId="0" xfId="0" applyNumberFormat="1" applyFont="1" applyAlignment="1">
      <alignment horizontal="left"/>
    </xf>
    <xf numFmtId="0" fontId="5" fillId="0" borderId="0" xfId="0" applyFont="1"/>
    <xf numFmtId="0" fontId="4" fillId="0" borderId="5" xfId="0" applyFont="1" applyBorder="1"/>
    <xf numFmtId="0" fontId="4" fillId="0" borderId="0" xfId="0" applyFont="1"/>
    <xf numFmtId="0" fontId="6" fillId="0" borderId="0" xfId="0" applyFont="1" applyAlignment="1">
      <alignment horizontal="left"/>
    </xf>
    <xf numFmtId="0" fontId="5" fillId="0" borderId="6" xfId="0" applyFont="1" applyBorder="1"/>
    <xf numFmtId="49" fontId="4" fillId="0" borderId="7" xfId="0" applyNumberFormat="1" applyFont="1" applyBorder="1" applyAlignment="1">
      <alignment horizontal="left"/>
    </xf>
    <xf numFmtId="0" fontId="5" fillId="0" borderId="7" xfId="0" applyFont="1" applyBorder="1"/>
    <xf numFmtId="0" fontId="4" fillId="0" borderId="8" xfId="0" applyFont="1" applyBorder="1"/>
    <xf numFmtId="0" fontId="4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12" xfId="0" applyFont="1" applyBorder="1"/>
    <xf numFmtId="2" fontId="4" fillId="0" borderId="13" xfId="0" applyNumberFormat="1" applyFont="1" applyBorder="1" applyAlignment="1">
      <alignment horizontal="center"/>
    </xf>
    <xf numFmtId="2" fontId="4" fillId="0" borderId="14" xfId="0" applyNumberFormat="1" applyFont="1" applyBorder="1" applyAlignment="1">
      <alignment horizontal="center"/>
    </xf>
    <xf numFmtId="2" fontId="4" fillId="0" borderId="0" xfId="0" applyNumberFormat="1" applyFont="1" applyAlignment="1">
      <alignment horizontal="center"/>
    </xf>
    <xf numFmtId="0" fontId="4" fillId="0" borderId="18" xfId="0" applyFont="1" applyBorder="1"/>
    <xf numFmtId="2" fontId="4" fillId="0" borderId="19" xfId="0" applyNumberFormat="1" applyFont="1" applyBorder="1" applyAlignment="1">
      <alignment horizontal="center"/>
    </xf>
    <xf numFmtId="0" fontId="4" fillId="0" borderId="15" xfId="0" applyFont="1" applyBorder="1"/>
    <xf numFmtId="2" fontId="4" fillId="0" borderId="16" xfId="0" applyNumberFormat="1" applyFont="1" applyBorder="1" applyAlignment="1">
      <alignment horizontal="center"/>
    </xf>
    <xf numFmtId="2" fontId="4" fillId="0" borderId="17" xfId="0" applyNumberFormat="1" applyFont="1" applyBorder="1" applyAlignment="1">
      <alignment horizontal="center"/>
    </xf>
    <xf numFmtId="2" fontId="5" fillId="0" borderId="8" xfId="0" applyNumberFormat="1" applyFont="1" applyBorder="1" applyAlignment="1">
      <alignment horizontal="center"/>
    </xf>
    <xf numFmtId="2" fontId="5" fillId="0" borderId="0" xfId="0" applyNumberFormat="1" applyFont="1" applyAlignment="1">
      <alignment horizontal="center"/>
    </xf>
    <xf numFmtId="2" fontId="4" fillId="0" borderId="25" xfId="0" applyNumberFormat="1" applyFont="1" applyBorder="1" applyAlignment="1">
      <alignment horizontal="center"/>
    </xf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7" fillId="0" borderId="0" xfId="0" applyFont="1"/>
    <xf numFmtId="0" fontId="4" fillId="0" borderId="4" xfId="0" applyFont="1" applyBorder="1"/>
    <xf numFmtId="10" fontId="4" fillId="0" borderId="0" xfId="0" applyNumberFormat="1" applyFont="1" applyAlignment="1">
      <alignment horizontal="center"/>
    </xf>
    <xf numFmtId="2" fontId="4" fillId="0" borderId="5" xfId="0" applyNumberFormat="1" applyFont="1" applyBorder="1" applyAlignment="1">
      <alignment horizontal="center"/>
    </xf>
    <xf numFmtId="2" fontId="4" fillId="0" borderId="12" xfId="0" applyNumberFormat="1" applyFont="1" applyBorder="1" applyAlignment="1">
      <alignment horizontal="center"/>
    </xf>
    <xf numFmtId="2" fontId="4" fillId="0" borderId="18" xfId="0" applyNumberFormat="1" applyFont="1" applyBorder="1" applyAlignment="1">
      <alignment horizontal="center"/>
    </xf>
    <xf numFmtId="2" fontId="5" fillId="0" borderId="11" xfId="0" applyNumberFormat="1" applyFont="1" applyBorder="1" applyAlignment="1">
      <alignment horizontal="center"/>
    </xf>
    <xf numFmtId="2" fontId="5" fillId="0" borderId="14" xfId="0" applyNumberFormat="1" applyFont="1" applyBorder="1" applyAlignment="1">
      <alignment horizontal="center"/>
    </xf>
    <xf numFmtId="2" fontId="4" fillId="0" borderId="15" xfId="0" applyNumberFormat="1" applyFont="1" applyBorder="1" applyAlignment="1">
      <alignment horizontal="center"/>
    </xf>
    <xf numFmtId="0" fontId="4" fillId="0" borderId="12" xfId="0" applyFont="1" applyBorder="1"/>
    <xf numFmtId="2" fontId="4" fillId="0" borderId="11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20" xfId="0" applyFont="1" applyBorder="1"/>
    <xf numFmtId="0" fontId="5" fillId="0" borderId="21" xfId="0" applyFont="1" applyBorder="1"/>
    <xf numFmtId="2" fontId="4" fillId="0" borderId="21" xfId="0" applyNumberFormat="1" applyFont="1" applyBorder="1" applyAlignment="1">
      <alignment horizontal="center"/>
    </xf>
    <xf numFmtId="0" fontId="4" fillId="0" borderId="32" xfId="0" applyFont="1" applyBorder="1"/>
    <xf numFmtId="0" fontId="5" fillId="0" borderId="22" xfId="0" applyFont="1" applyBorder="1"/>
    <xf numFmtId="2" fontId="4" fillId="0" borderId="22" xfId="0" applyNumberFormat="1" applyFont="1" applyBorder="1" applyAlignment="1">
      <alignment horizontal="center"/>
    </xf>
    <xf numFmtId="0" fontId="4" fillId="0" borderId="28" xfId="0" applyFont="1" applyBorder="1"/>
    <xf numFmtId="0" fontId="6" fillId="0" borderId="29" xfId="0" applyFont="1" applyBorder="1" applyAlignment="1">
      <alignment horizontal="center"/>
    </xf>
    <xf numFmtId="0" fontId="5" fillId="0" borderId="23" xfId="0" applyFont="1" applyBorder="1"/>
    <xf numFmtId="2" fontId="4" fillId="0" borderId="23" xfId="0" applyNumberFormat="1" applyFont="1" applyBorder="1" applyAlignment="1">
      <alignment horizontal="center"/>
    </xf>
    <xf numFmtId="0" fontId="4" fillId="0" borderId="30" xfId="0" applyFont="1" applyBorder="1"/>
    <xf numFmtId="0" fontId="4" fillId="0" borderId="2" xfId="0" applyFont="1" applyBorder="1" applyAlignment="1">
      <alignment horizontal="left"/>
    </xf>
    <xf numFmtId="2" fontId="6" fillId="0" borderId="26" xfId="0" applyNumberFormat="1" applyFont="1" applyBorder="1" applyAlignment="1">
      <alignment horizontal="center"/>
    </xf>
    <xf numFmtId="2" fontId="6" fillId="0" borderId="14" xfId="0" applyNumberFormat="1" applyFont="1" applyBorder="1" applyAlignment="1">
      <alignment horizontal="center"/>
    </xf>
    <xf numFmtId="2" fontId="6" fillId="0" borderId="19" xfId="0" applyNumberFormat="1" applyFont="1" applyBorder="1" applyAlignment="1">
      <alignment horizontal="center"/>
    </xf>
    <xf numFmtId="2" fontId="6" fillId="0" borderId="17" xfId="0" applyNumberFormat="1" applyFont="1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4" fillId="0" borderId="0" xfId="0" applyFont="1" applyAlignment="1">
      <alignment horizontal="left"/>
    </xf>
    <xf numFmtId="2" fontId="6" fillId="0" borderId="0" xfId="0" applyNumberFormat="1" applyFont="1" applyAlignment="1">
      <alignment horizontal="center"/>
    </xf>
    <xf numFmtId="0" fontId="5" fillId="0" borderId="25" xfId="0" applyFont="1" applyBorder="1"/>
    <xf numFmtId="0" fontId="4" fillId="0" borderId="26" xfId="0" applyFont="1" applyBorder="1" applyAlignment="1">
      <alignment horizontal="center" vertical="center"/>
    </xf>
    <xf numFmtId="2" fontId="6" fillId="0" borderId="16" xfId="0" applyNumberFormat="1" applyFont="1" applyBorder="1" applyAlignment="1">
      <alignment horizontal="center"/>
    </xf>
    <xf numFmtId="0" fontId="6" fillId="0" borderId="18" xfId="0" applyFont="1" applyBorder="1"/>
    <xf numFmtId="14" fontId="4" fillId="0" borderId="0" xfId="0" applyNumberFormat="1" applyFont="1" applyAlignment="1">
      <alignment horizontal="left"/>
    </xf>
    <xf numFmtId="10" fontId="6" fillId="0" borderId="31" xfId="1" applyNumberFormat="1" applyFont="1" applyFill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9" xfId="0" applyFont="1" applyBorder="1"/>
    <xf numFmtId="2" fontId="6" fillId="0" borderId="24" xfId="0" applyNumberFormat="1" applyFont="1" applyBorder="1" applyAlignment="1">
      <alignment horizontal="center"/>
    </xf>
    <xf numFmtId="9" fontId="6" fillId="0" borderId="31" xfId="1" applyFont="1" applyFill="1" applyBorder="1" applyAlignment="1">
      <alignment horizontal="center" vertical="center"/>
    </xf>
    <xf numFmtId="2" fontId="5" fillId="0" borderId="26" xfId="0" applyNumberFormat="1" applyFont="1" applyBorder="1" applyAlignment="1">
      <alignment horizontal="center"/>
    </xf>
    <xf numFmtId="2" fontId="4" fillId="0" borderId="37" xfId="0" applyNumberFormat="1" applyFont="1" applyBorder="1" applyAlignment="1">
      <alignment horizontal="center"/>
    </xf>
    <xf numFmtId="0" fontId="5" fillId="0" borderId="38" xfId="0" applyFont="1" applyBorder="1"/>
    <xf numFmtId="2" fontId="4" fillId="0" borderId="26" xfId="0" applyNumberFormat="1" applyFont="1" applyBorder="1" applyAlignment="1">
      <alignment horizontal="center"/>
    </xf>
    <xf numFmtId="2" fontId="2" fillId="0" borderId="0" xfId="0" applyNumberFormat="1" applyFont="1"/>
    <xf numFmtId="0" fontId="1" fillId="0" borderId="25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8" fillId="0" borderId="34" xfId="0" applyFont="1" applyBorder="1" applyAlignment="1">
      <alignment horizontal="center"/>
    </xf>
    <xf numFmtId="0" fontId="8" fillId="0" borderId="35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5" fillId="0" borderId="12" xfId="0" applyFont="1" applyBorder="1" applyAlignment="1">
      <alignment horizontal="left"/>
    </xf>
    <xf numFmtId="0" fontId="5" fillId="0" borderId="14" xfId="0" applyFont="1" applyBorder="1" applyAlignment="1">
      <alignment horizontal="left"/>
    </xf>
    <xf numFmtId="0" fontId="5" fillId="0" borderId="18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5" fillId="0" borderId="15" xfId="0" applyFont="1" applyBorder="1" applyAlignment="1">
      <alignment horizontal="left"/>
    </xf>
    <xf numFmtId="0" fontId="5" fillId="0" borderId="17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5" fillId="0" borderId="25" xfId="0" applyFont="1" applyBorder="1" applyAlignment="1">
      <alignment horizontal="center"/>
    </xf>
    <xf numFmtId="0" fontId="5" fillId="0" borderId="36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6" xfId="0" applyFont="1" applyBorder="1" applyAlignment="1">
      <alignment horizontal="center"/>
    </xf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dvensys%20Conseil/Groupe%20Advensys%20Luxembourg%20S.A%201/9-Salaires/BS-2024/2-BS-BERTHE%20Alexandra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vier"/>
      <sheetName val="février"/>
      <sheetName val="mars"/>
      <sheetName val="Avril"/>
      <sheetName val="mai"/>
      <sheetName val="juin"/>
      <sheetName val="juillet"/>
      <sheetName val="aout"/>
      <sheetName val="septembre"/>
      <sheetName val="octobre"/>
      <sheetName val="novembre"/>
      <sheetName val="décemb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5">
          <cell r="F5" t="str">
            <v>Groupe Advensys Luxembourg S.A</v>
          </cell>
        </row>
        <row r="6">
          <cell r="F6" t="str">
            <v>Duarrefstrooss 49</v>
          </cell>
        </row>
        <row r="7">
          <cell r="B7" t="str">
            <v xml:space="preserve">Comptable </v>
          </cell>
          <cell r="F7" t="str">
            <v>L-9964 Huldange</v>
          </cell>
        </row>
        <row r="8">
          <cell r="B8">
            <v>44455</v>
          </cell>
        </row>
        <row r="9">
          <cell r="B9" t="str">
            <v>1996 0905 124 86</v>
          </cell>
          <cell r="F9" t="str">
            <v>BERTHE Alexandra</v>
          </cell>
        </row>
        <row r="10">
          <cell r="B10">
            <v>20152206748</v>
          </cell>
          <cell r="F10" t="str">
            <v>93, Duarrefstrooss</v>
          </cell>
        </row>
        <row r="11">
          <cell r="F11" t="str">
            <v>L-9964 Huldange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08AA7-E81C-4B8A-8848-BA1D865F9F08}">
  <sheetPr codeName="Feuil1"/>
  <dimension ref="A1:H57"/>
  <sheetViews>
    <sheetView topLeftCell="A17" zoomScaleNormal="100" workbookViewId="0">
      <selection activeCell="H39" sqref="H39"/>
    </sheetView>
  </sheetViews>
  <sheetFormatPr baseColWidth="10" defaultColWidth="11.42578125" defaultRowHeight="12" x14ac:dyDescent="0.2"/>
  <cols>
    <col min="1" max="1" width="18.85546875" style="1" customWidth="1"/>
    <col min="2" max="2" width="10.42578125" style="1" customWidth="1"/>
    <col min="3" max="3" width="13.7109375" style="1" customWidth="1"/>
    <col min="4" max="4" width="8.7109375" style="1" customWidth="1"/>
    <col min="5" max="5" width="6.5703125" style="1" bestFit="1" customWidth="1"/>
    <col min="6" max="7" width="12.85546875" style="1" customWidth="1"/>
    <col min="8" max="16384" width="11.42578125" style="1"/>
  </cols>
  <sheetData>
    <row r="1" spans="1:8" ht="12.75" thickBot="1" x14ac:dyDescent="0.25"/>
    <row r="2" spans="1:8" ht="15.75" thickBot="1" x14ac:dyDescent="0.3">
      <c r="A2" s="85" t="s">
        <v>45</v>
      </c>
      <c r="B2" s="86"/>
      <c r="C2" s="86"/>
      <c r="D2" s="86"/>
      <c r="E2" s="86"/>
      <c r="F2" s="86"/>
      <c r="G2" s="87"/>
      <c r="H2" s="2"/>
    </row>
    <row r="4" spans="1:8" ht="12.75" thickBot="1" x14ac:dyDescent="0.25"/>
    <row r="5" spans="1:8" x14ac:dyDescent="0.2">
      <c r="A5" s="3" t="s">
        <v>0</v>
      </c>
      <c r="B5" s="61">
        <v>2</v>
      </c>
      <c r="C5" s="4"/>
      <c r="D5" s="5"/>
      <c r="E5" s="6"/>
      <c r="F5" s="91" t="str">
        <f>[1]novembre!F5</f>
        <v>Groupe Advensys Luxembourg S.A</v>
      </c>
      <c r="G5" s="92"/>
    </row>
    <row r="6" spans="1:8" x14ac:dyDescent="0.2">
      <c r="A6" s="7" t="s">
        <v>1</v>
      </c>
      <c r="B6" s="8">
        <v>21</v>
      </c>
      <c r="C6" s="9"/>
      <c r="D6" s="10"/>
      <c r="E6" s="6"/>
      <c r="F6" s="93" t="str">
        <f>[1]novembre!F6</f>
        <v>Duarrefstrooss 49</v>
      </c>
      <c r="G6" s="94"/>
    </row>
    <row r="7" spans="1:8" ht="12.75" thickBot="1" x14ac:dyDescent="0.25">
      <c r="A7" s="7" t="s">
        <v>2</v>
      </c>
      <c r="B7" s="67" t="str">
        <f>[1]novembre!B7</f>
        <v xml:space="preserve">Comptable </v>
      </c>
      <c r="C7" s="9"/>
      <c r="D7" s="10"/>
      <c r="E7" s="6"/>
      <c r="F7" s="95" t="str">
        <f>[1]novembre!F7</f>
        <v>L-9964 Huldange</v>
      </c>
      <c r="G7" s="96"/>
    </row>
    <row r="8" spans="1:8" ht="12.75" thickBot="1" x14ac:dyDescent="0.25">
      <c r="A8" s="7" t="s">
        <v>3</v>
      </c>
      <c r="B8" s="73">
        <f>[1]novembre!B8</f>
        <v>44455</v>
      </c>
      <c r="C8" s="9"/>
      <c r="D8" s="10"/>
      <c r="E8" s="6"/>
      <c r="F8" s="67"/>
      <c r="G8" s="12"/>
    </row>
    <row r="9" spans="1:8" x14ac:dyDescent="0.2">
      <c r="A9" s="7" t="s">
        <v>4</v>
      </c>
      <c r="B9" s="67" t="str">
        <f>[1]novembre!B9</f>
        <v>1996 0905 124 86</v>
      </c>
      <c r="C9" s="9"/>
      <c r="D9" s="10"/>
      <c r="E9" s="6"/>
      <c r="F9" s="91" t="str">
        <f>[1]novembre!F9</f>
        <v>BERTHE Alexandra</v>
      </c>
      <c r="G9" s="92"/>
    </row>
    <row r="10" spans="1:8" x14ac:dyDescent="0.2">
      <c r="A10" s="7" t="s">
        <v>5</v>
      </c>
      <c r="B10" s="67">
        <f>[1]novembre!B10</f>
        <v>20152206748</v>
      </c>
      <c r="C10" s="9"/>
      <c r="D10" s="10"/>
      <c r="E10" s="6"/>
      <c r="F10" s="93" t="str">
        <f>[1]novembre!F10</f>
        <v>93, Duarrefstrooss</v>
      </c>
      <c r="G10" s="94"/>
    </row>
    <row r="11" spans="1:8" ht="12.75" thickBot="1" x14ac:dyDescent="0.25">
      <c r="A11" s="13" t="s">
        <v>6</v>
      </c>
      <c r="B11" s="14" t="s">
        <v>59</v>
      </c>
      <c r="C11" s="15"/>
      <c r="D11" s="16"/>
      <c r="E11" s="6"/>
      <c r="F11" s="95" t="str">
        <f>[1]novembre!F11</f>
        <v>L-9964 Huldange</v>
      </c>
      <c r="G11" s="96"/>
    </row>
    <row r="12" spans="1:8" x14ac:dyDescent="0.2">
      <c r="A12" s="97" t="s">
        <v>7</v>
      </c>
      <c r="B12" s="97"/>
      <c r="C12" s="97"/>
      <c r="D12" s="97"/>
      <c r="E12" s="6"/>
      <c r="F12" s="6"/>
      <c r="G12" s="6"/>
    </row>
    <row r="13" spans="1:8" ht="12.75" thickBot="1" x14ac:dyDescent="0.25">
      <c r="A13" s="6"/>
      <c r="B13" s="6"/>
      <c r="C13" s="6"/>
      <c r="D13" s="6"/>
      <c r="E13" s="6"/>
      <c r="F13" s="6"/>
      <c r="G13" s="6"/>
    </row>
    <row r="14" spans="1:8" ht="23.25" thickBot="1" x14ac:dyDescent="0.25">
      <c r="A14" s="21" t="s">
        <v>8</v>
      </c>
      <c r="B14" s="17" t="s">
        <v>46</v>
      </c>
      <c r="C14" s="18" t="s">
        <v>9</v>
      </c>
      <c r="D14" s="19" t="s">
        <v>10</v>
      </c>
      <c r="E14" s="20"/>
      <c r="F14" s="21" t="s">
        <v>11</v>
      </c>
      <c r="G14" s="75" t="s">
        <v>10</v>
      </c>
    </row>
    <row r="15" spans="1:8" ht="12.75" thickBot="1" x14ac:dyDescent="0.25">
      <c r="A15" s="11"/>
      <c r="B15" s="22"/>
      <c r="C15" s="22"/>
      <c r="D15" s="22"/>
      <c r="E15" s="22"/>
      <c r="F15" s="22"/>
      <c r="G15" s="6"/>
    </row>
    <row r="16" spans="1:8" x14ac:dyDescent="0.2">
      <c r="A16" s="23" t="s">
        <v>12</v>
      </c>
      <c r="B16" s="24">
        <f>D49</f>
        <v>173</v>
      </c>
      <c r="C16" s="24">
        <f>D50</f>
        <v>18.296820809248555</v>
      </c>
      <c r="D16" s="25">
        <f>B16*C16</f>
        <v>3165.35</v>
      </c>
      <c r="E16" s="26"/>
      <c r="F16" s="26"/>
      <c r="G16" s="6"/>
    </row>
    <row r="17" spans="1:7" x14ac:dyDescent="0.2">
      <c r="A17" s="27" t="s">
        <v>43</v>
      </c>
      <c r="B17" s="26">
        <v>0</v>
      </c>
      <c r="C17" s="26">
        <v>0</v>
      </c>
      <c r="D17" s="28">
        <v>0</v>
      </c>
      <c r="E17" s="26"/>
      <c r="F17" s="26"/>
      <c r="G17" s="6"/>
    </row>
    <row r="18" spans="1:7" x14ac:dyDescent="0.2">
      <c r="A18" s="27" t="s">
        <v>31</v>
      </c>
      <c r="B18" s="26">
        <v>16</v>
      </c>
      <c r="C18" s="26">
        <v>0</v>
      </c>
      <c r="D18" s="28">
        <v>0</v>
      </c>
      <c r="E18" s="26"/>
      <c r="F18" s="26"/>
      <c r="G18" s="6"/>
    </row>
    <row r="19" spans="1:7" ht="12.75" thickBot="1" x14ac:dyDescent="0.25">
      <c r="A19" s="27" t="s">
        <v>48</v>
      </c>
      <c r="B19" s="26">
        <v>0</v>
      </c>
      <c r="C19" s="26">
        <v>0</v>
      </c>
      <c r="D19" s="28">
        <v>0</v>
      </c>
      <c r="E19" s="26"/>
      <c r="F19" s="26"/>
      <c r="G19" s="6"/>
    </row>
    <row r="20" spans="1:7" ht="12.75" thickBot="1" x14ac:dyDescent="0.25">
      <c r="A20" s="98" t="s">
        <v>13</v>
      </c>
      <c r="B20" s="99"/>
      <c r="C20" s="99"/>
      <c r="D20" s="80">
        <f>D16+D19</f>
        <v>3165.35</v>
      </c>
      <c r="E20" s="33"/>
      <c r="F20" s="34">
        <v>0</v>
      </c>
      <c r="G20" s="62">
        <f>D20+F20</f>
        <v>3165.35</v>
      </c>
    </row>
    <row r="21" spans="1:7" ht="12.75" thickBot="1" x14ac:dyDescent="0.25">
      <c r="A21" s="9"/>
      <c r="B21" s="26"/>
      <c r="C21" s="26"/>
      <c r="D21" s="33"/>
      <c r="E21" s="33"/>
      <c r="F21" s="26"/>
      <c r="G21" s="76"/>
    </row>
    <row r="22" spans="1:7" ht="12.75" thickBot="1" x14ac:dyDescent="0.25">
      <c r="A22" s="35" t="s">
        <v>14</v>
      </c>
      <c r="B22" s="36"/>
      <c r="C22" s="36"/>
      <c r="D22" s="37"/>
      <c r="E22" s="9"/>
      <c r="F22" s="38"/>
      <c r="G22" s="76"/>
    </row>
    <row r="23" spans="1:7" x14ac:dyDescent="0.2">
      <c r="A23" s="39" t="s">
        <v>15</v>
      </c>
      <c r="B23" s="40">
        <v>2.8000000000000001E-2</v>
      </c>
      <c r="C23" s="26"/>
      <c r="D23" s="41">
        <f>D20*B23</f>
        <v>88.629800000000003</v>
      </c>
      <c r="E23" s="26"/>
      <c r="F23" s="42">
        <v>0</v>
      </c>
      <c r="G23" s="63">
        <f>D23</f>
        <v>88.629800000000003</v>
      </c>
    </row>
    <row r="24" spans="1:7" x14ac:dyDescent="0.2">
      <c r="A24" s="39" t="s">
        <v>16</v>
      </c>
      <c r="B24" s="40">
        <v>2.5000000000000001E-3</v>
      </c>
      <c r="C24" s="26"/>
      <c r="D24" s="41">
        <f>B24*D20</f>
        <v>7.9133750000000003</v>
      </c>
      <c r="E24" s="26"/>
      <c r="F24" s="43">
        <v>0</v>
      </c>
      <c r="G24" s="64">
        <f t="shared" ref="G24:G39" si="0">D24</f>
        <v>7.9133750000000003</v>
      </c>
    </row>
    <row r="25" spans="1:7" x14ac:dyDescent="0.2">
      <c r="A25" s="39" t="s">
        <v>17</v>
      </c>
      <c r="B25" s="40">
        <v>0.08</v>
      </c>
      <c r="C25" s="26"/>
      <c r="D25" s="41">
        <f>B25*D20</f>
        <v>253.22800000000001</v>
      </c>
      <c r="E25" s="26"/>
      <c r="F25" s="43">
        <v>0</v>
      </c>
      <c r="G25" s="64">
        <f t="shared" si="0"/>
        <v>253.22800000000001</v>
      </c>
    </row>
    <row r="26" spans="1:7" ht="12.75" thickBot="1" x14ac:dyDescent="0.25">
      <c r="A26" s="39" t="s">
        <v>18</v>
      </c>
      <c r="B26" s="40">
        <v>1.4E-2</v>
      </c>
      <c r="C26" s="26"/>
      <c r="D26" s="41">
        <f>B26*(D20-642.73)</f>
        <v>35.316679999999998</v>
      </c>
      <c r="E26" s="26"/>
      <c r="F26" s="43">
        <v>0</v>
      </c>
      <c r="G26" s="64">
        <f t="shared" si="0"/>
        <v>35.316679999999998</v>
      </c>
    </row>
    <row r="27" spans="1:7" ht="12.75" thickBot="1" x14ac:dyDescent="0.25">
      <c r="A27" s="100" t="s">
        <v>19</v>
      </c>
      <c r="B27" s="100"/>
      <c r="C27" s="100"/>
      <c r="D27" s="44">
        <f>SUM(D23:D26)</f>
        <v>385.08785500000005</v>
      </c>
      <c r="E27" s="33"/>
      <c r="F27" s="34">
        <v>0</v>
      </c>
      <c r="G27" s="62">
        <f>SUM(G23:G26)</f>
        <v>385.08785500000005</v>
      </c>
    </row>
    <row r="28" spans="1:7" ht="12.75" thickBot="1" x14ac:dyDescent="0.25">
      <c r="A28" s="9"/>
      <c r="B28" s="40"/>
      <c r="C28" s="26"/>
      <c r="D28" s="33"/>
      <c r="E28" s="33"/>
      <c r="F28" s="26"/>
      <c r="G28" s="68"/>
    </row>
    <row r="29" spans="1:7" x14ac:dyDescent="0.2">
      <c r="A29" s="23" t="s">
        <v>20</v>
      </c>
      <c r="B29" s="24"/>
      <c r="C29" s="24"/>
      <c r="D29" s="45"/>
      <c r="E29" s="33"/>
      <c r="F29" s="42">
        <v>0</v>
      </c>
      <c r="G29" s="63">
        <f t="shared" si="0"/>
        <v>0</v>
      </c>
    </row>
    <row r="30" spans="1:7" x14ac:dyDescent="0.2">
      <c r="A30" s="27" t="s">
        <v>21</v>
      </c>
      <c r="B30" s="26"/>
      <c r="C30" s="26"/>
      <c r="D30" s="28">
        <v>0</v>
      </c>
      <c r="E30" s="26"/>
      <c r="F30" s="43">
        <v>0</v>
      </c>
      <c r="G30" s="64">
        <f t="shared" si="0"/>
        <v>0</v>
      </c>
    </row>
    <row r="31" spans="1:7" x14ac:dyDescent="0.2">
      <c r="A31" s="27" t="s">
        <v>22</v>
      </c>
      <c r="B31" s="26"/>
      <c r="C31" s="26"/>
      <c r="D31" s="28">
        <v>0</v>
      </c>
      <c r="E31" s="26"/>
      <c r="F31" s="43">
        <v>0</v>
      </c>
      <c r="G31" s="64">
        <f t="shared" si="0"/>
        <v>0</v>
      </c>
    </row>
    <row r="32" spans="1:7" x14ac:dyDescent="0.2">
      <c r="A32" s="27" t="s">
        <v>23</v>
      </c>
      <c r="B32" s="26"/>
      <c r="C32" s="26"/>
      <c r="D32" s="28">
        <v>0</v>
      </c>
      <c r="E32" s="26"/>
      <c r="F32" s="43">
        <v>0</v>
      </c>
      <c r="G32" s="64">
        <f t="shared" si="0"/>
        <v>0</v>
      </c>
    </row>
    <row r="33" spans="1:7" ht="12.75" thickBot="1" x14ac:dyDescent="0.25">
      <c r="A33" s="29" t="s">
        <v>24</v>
      </c>
      <c r="B33" s="30"/>
      <c r="C33" s="30"/>
      <c r="D33" s="31">
        <v>0</v>
      </c>
      <c r="E33" s="26"/>
      <c r="F33" s="46">
        <v>0</v>
      </c>
      <c r="G33" s="65">
        <f t="shared" si="0"/>
        <v>0</v>
      </c>
    </row>
    <row r="34" spans="1:7" ht="12.75" thickBot="1" x14ac:dyDescent="0.25">
      <c r="A34" s="11"/>
      <c r="B34" s="26"/>
      <c r="C34" s="26"/>
      <c r="D34" s="26"/>
      <c r="E34" s="26"/>
      <c r="F34" s="26"/>
      <c r="G34" s="68"/>
    </row>
    <row r="35" spans="1:7" ht="12.75" thickBot="1" x14ac:dyDescent="0.25">
      <c r="A35" s="100" t="s">
        <v>25</v>
      </c>
      <c r="B35" s="100"/>
      <c r="C35" s="100"/>
      <c r="D35" s="44">
        <f>D20-D23-D24-D25-D30-D31-D32-D33</f>
        <v>2815.5788249999996</v>
      </c>
      <c r="E35" s="33"/>
      <c r="F35" s="34">
        <v>0</v>
      </c>
      <c r="G35" s="62">
        <f>D35</f>
        <v>2815.5788249999996</v>
      </c>
    </row>
    <row r="36" spans="1:7" ht="12.75" thickBot="1" x14ac:dyDescent="0.25">
      <c r="A36" s="9"/>
      <c r="B36" s="26"/>
      <c r="C36" s="26"/>
      <c r="D36" s="33"/>
      <c r="E36" s="33"/>
      <c r="F36" s="26"/>
      <c r="G36" s="68"/>
    </row>
    <row r="37" spans="1:7" x14ac:dyDescent="0.2">
      <c r="A37" s="47" t="s">
        <v>26</v>
      </c>
      <c r="B37" s="24"/>
      <c r="C37" s="24"/>
      <c r="D37" s="25">
        <v>225.3</v>
      </c>
      <c r="E37" s="26"/>
      <c r="F37" s="42">
        <v>0</v>
      </c>
      <c r="G37" s="63">
        <f t="shared" si="0"/>
        <v>225.3</v>
      </c>
    </row>
    <row r="38" spans="1:7" x14ac:dyDescent="0.2">
      <c r="A38" s="72" t="s">
        <v>44</v>
      </c>
      <c r="B38" s="26"/>
      <c r="C38" s="26"/>
      <c r="D38" s="28">
        <f>IF(D20&lt;1800,0,IF(D20&lt;=3000,81,IF(D20&gt;=3600,0,81/600*(3600-D20))))</f>
        <v>58.677750000000017</v>
      </c>
      <c r="E38" s="26"/>
      <c r="F38" s="43">
        <v>0</v>
      </c>
      <c r="G38" s="64">
        <f t="shared" si="0"/>
        <v>58.677750000000017</v>
      </c>
    </row>
    <row r="39" spans="1:7" x14ac:dyDescent="0.2">
      <c r="A39" s="27" t="s">
        <v>27</v>
      </c>
      <c r="B39" s="26"/>
      <c r="C39" s="26"/>
      <c r="D39" s="28">
        <f>IF(D20&lt;78,0,IF(D20&lt;936,((300+(D20*12-936)*0.029)/12),IF(D20&lt;3333.33,50,IF(D20&gt;6666.5,0,((600-(D20*12-40000)*0.015)/12)))))</f>
        <v>50</v>
      </c>
      <c r="E39" s="81"/>
      <c r="F39" s="43">
        <v>0</v>
      </c>
      <c r="G39" s="64">
        <f t="shared" si="0"/>
        <v>50</v>
      </c>
    </row>
    <row r="40" spans="1:7" ht="12.75" thickBot="1" x14ac:dyDescent="0.25">
      <c r="A40" s="29" t="s">
        <v>58</v>
      </c>
      <c r="B40" s="30"/>
      <c r="C40" s="30"/>
      <c r="D40" s="31">
        <f>IF(D20&lt;78,0,IF(D20&lt;3333.33,16,IF(D20&lt;6667,((16-(D20-3333.33)*0.0042)),0)))</f>
        <v>16</v>
      </c>
      <c r="E40" s="81"/>
      <c r="F40" s="46">
        <v>0</v>
      </c>
      <c r="G40" s="65">
        <f>D40</f>
        <v>16</v>
      </c>
    </row>
    <row r="41" spans="1:7" ht="12.75" thickBot="1" x14ac:dyDescent="0.25">
      <c r="A41" s="11"/>
      <c r="B41" s="26"/>
      <c r="C41" s="26"/>
      <c r="D41" s="22"/>
      <c r="E41" s="22"/>
      <c r="F41" s="26"/>
      <c r="G41" s="68"/>
    </row>
    <row r="42" spans="1:7" ht="12.75" thickBot="1" x14ac:dyDescent="0.25">
      <c r="A42" s="100" t="s">
        <v>28</v>
      </c>
      <c r="B42" s="100"/>
      <c r="C42" s="100"/>
      <c r="D42" s="48">
        <f>D20-D27-D37+D38+D39+D40</f>
        <v>2679.6398949999993</v>
      </c>
      <c r="E42" s="26"/>
      <c r="F42" s="34">
        <v>0</v>
      </c>
      <c r="G42" s="62">
        <f>D42</f>
        <v>2679.6398949999993</v>
      </c>
    </row>
    <row r="43" spans="1:7" ht="12.75" thickBot="1" x14ac:dyDescent="0.25">
      <c r="A43" s="100" t="s">
        <v>60</v>
      </c>
      <c r="B43" s="100"/>
      <c r="C43" s="100"/>
      <c r="D43" s="48">
        <v>56</v>
      </c>
      <c r="E43" s="11"/>
      <c r="F43" s="11" t="s">
        <v>29</v>
      </c>
      <c r="G43" s="76"/>
    </row>
    <row r="44" spans="1:7" ht="12.75" thickBot="1" x14ac:dyDescent="0.25">
      <c r="A44" s="98" t="s">
        <v>61</v>
      </c>
      <c r="B44" s="99"/>
      <c r="C44" s="99"/>
      <c r="D44" s="83">
        <v>1000</v>
      </c>
      <c r="E44" s="11"/>
      <c r="F44" s="77" t="s">
        <v>30</v>
      </c>
      <c r="G44" s="78">
        <f>D42-D44-D43</f>
        <v>1623.6398949999993</v>
      </c>
    </row>
    <row r="45" spans="1:7" ht="12.75" thickBot="1" x14ac:dyDescent="0.25">
      <c r="A45" s="11"/>
      <c r="B45" s="11"/>
      <c r="C45" s="11"/>
      <c r="D45" s="11"/>
      <c r="E45" s="11"/>
      <c r="F45" s="9"/>
      <c r="G45" s="6"/>
    </row>
    <row r="46" spans="1:7" ht="12.75" thickBot="1" x14ac:dyDescent="0.25">
      <c r="A46" s="50" t="s">
        <v>31</v>
      </c>
      <c r="B46" s="11"/>
      <c r="C46" s="38"/>
      <c r="D46" s="38"/>
      <c r="E46" s="38"/>
      <c r="F46" s="38"/>
      <c r="G46" s="6"/>
    </row>
    <row r="47" spans="1:7" ht="12.75" thickBot="1" x14ac:dyDescent="0.25">
      <c r="A47" s="51" t="s">
        <v>55</v>
      </c>
      <c r="B47" s="8">
        <v>208</v>
      </c>
      <c r="C47" s="100" t="s">
        <v>32</v>
      </c>
      <c r="D47" s="101"/>
      <c r="E47" s="49"/>
      <c r="F47" s="88" t="s">
        <v>33</v>
      </c>
      <c r="G47" s="89"/>
    </row>
    <row r="48" spans="1:7" x14ac:dyDescent="0.2">
      <c r="A48" s="82" t="s">
        <v>56</v>
      </c>
      <c r="B48" s="8">
        <v>-4</v>
      </c>
      <c r="C48" s="51" t="s">
        <v>34</v>
      </c>
      <c r="D48" s="52">
        <v>3165.35</v>
      </c>
      <c r="E48" s="26"/>
      <c r="F48" s="53" t="s">
        <v>35</v>
      </c>
      <c r="G48" s="66" t="s">
        <v>62</v>
      </c>
    </row>
    <row r="49" spans="1:7" x14ac:dyDescent="0.2">
      <c r="A49" s="54" t="s">
        <v>36</v>
      </c>
      <c r="B49" s="8">
        <f>0+B18</f>
        <v>16</v>
      </c>
      <c r="C49" s="54" t="s">
        <v>37</v>
      </c>
      <c r="D49" s="55">
        <v>173</v>
      </c>
      <c r="E49" s="26"/>
      <c r="F49" s="56" t="s">
        <v>38</v>
      </c>
      <c r="G49" s="57">
        <v>1</v>
      </c>
    </row>
    <row r="50" spans="1:7" ht="12.75" thickBot="1" x14ac:dyDescent="0.25">
      <c r="A50" s="58" t="s">
        <v>39</v>
      </c>
      <c r="B50" s="8">
        <f>(B48+B47)-B49</f>
        <v>188</v>
      </c>
      <c r="C50" s="58" t="s">
        <v>40</v>
      </c>
      <c r="D50" s="59">
        <f>D48/D49</f>
        <v>18.296820809248555</v>
      </c>
      <c r="E50" s="26"/>
      <c r="F50" s="60" t="s">
        <v>41</v>
      </c>
      <c r="G50" s="79" t="s">
        <v>57</v>
      </c>
    </row>
    <row r="51" spans="1:7" x14ac:dyDescent="0.2">
      <c r="A51" s="9"/>
      <c r="B51" s="8"/>
      <c r="C51" s="9"/>
      <c r="D51" s="26"/>
      <c r="E51" s="26"/>
      <c r="F51" s="11"/>
      <c r="G51" s="6"/>
    </row>
    <row r="52" spans="1:7" x14ac:dyDescent="0.2">
      <c r="A52" s="90" t="s">
        <v>42</v>
      </c>
      <c r="B52" s="90"/>
      <c r="C52" s="90"/>
      <c r="D52" s="90"/>
      <c r="E52" s="11"/>
      <c r="F52" s="11"/>
      <c r="G52" s="6"/>
    </row>
    <row r="57" spans="1:7" ht="15" x14ac:dyDescent="0.25">
      <c r="B57"/>
    </row>
  </sheetData>
  <mergeCells count="17">
    <mergeCell ref="A44:C44"/>
    <mergeCell ref="A2:G2"/>
    <mergeCell ref="F47:G47"/>
    <mergeCell ref="A52:D52"/>
    <mergeCell ref="F5:G5"/>
    <mergeCell ref="F6:G6"/>
    <mergeCell ref="F7:G7"/>
    <mergeCell ref="F9:G9"/>
    <mergeCell ref="F10:G10"/>
    <mergeCell ref="F11:G11"/>
    <mergeCell ref="A12:D12"/>
    <mergeCell ref="A20:C20"/>
    <mergeCell ref="A27:C27"/>
    <mergeCell ref="A35:C35"/>
    <mergeCell ref="A42:C42"/>
    <mergeCell ref="C47:D47"/>
    <mergeCell ref="A43:C43"/>
  </mergeCells>
  <pageMargins left="0.7" right="0.7" top="0.75" bottom="0.75" header="0.3" footer="0.3"/>
  <pageSetup paperSize="9" orientation="portrait" r:id="rId1"/>
  <headerFooter>
    <oddFooter>&amp;LGroupe Advensys Luxembourg SA
contact@advensys-conseil.lu&amp;C
Grand rue 34
L-9710 Clervaux&amp;R+352 28 79 76 26       
+352 661 11 22 60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15E01-3393-4231-B500-C790B873BE51}">
  <sheetPr codeName="Feuil2"/>
  <dimension ref="A1:I58"/>
  <sheetViews>
    <sheetView topLeftCell="A19" zoomScaleNormal="100" workbookViewId="0">
      <selection activeCell="D45" sqref="D45"/>
    </sheetView>
  </sheetViews>
  <sheetFormatPr baseColWidth="10" defaultColWidth="11.42578125" defaultRowHeight="12" x14ac:dyDescent="0.2"/>
  <cols>
    <col min="1" max="1" width="20.140625" style="1" bestFit="1" customWidth="1"/>
    <col min="2" max="2" width="10.42578125" style="1" customWidth="1"/>
    <col min="3" max="3" width="15" style="1" customWidth="1"/>
    <col min="4" max="4" width="8.7109375" style="1" customWidth="1"/>
    <col min="5" max="5" width="5" style="1" customWidth="1"/>
    <col min="6" max="6" width="13.85546875" style="1" customWidth="1"/>
    <col min="7" max="7" width="14.28515625" style="1" customWidth="1"/>
    <col min="8" max="16384" width="11.42578125" style="1"/>
  </cols>
  <sheetData>
    <row r="1" spans="1:8" ht="12.75" thickBot="1" x14ac:dyDescent="0.25"/>
    <row r="2" spans="1:8" ht="15.75" thickBot="1" x14ac:dyDescent="0.3">
      <c r="A2" s="85" t="s">
        <v>45</v>
      </c>
      <c r="B2" s="86"/>
      <c r="C2" s="86"/>
      <c r="D2" s="86"/>
      <c r="E2" s="86"/>
      <c r="F2" s="86"/>
      <c r="G2" s="87"/>
      <c r="H2" s="2"/>
    </row>
    <row r="4" spans="1:8" ht="12.75" thickBot="1" x14ac:dyDescent="0.25"/>
    <row r="5" spans="1:8" x14ac:dyDescent="0.2">
      <c r="A5" s="3" t="s">
        <v>0</v>
      </c>
      <c r="B5" s="61">
        <f>janvier!B5</f>
        <v>2</v>
      </c>
      <c r="C5" s="4"/>
      <c r="D5" s="5"/>
      <c r="E5" s="6"/>
      <c r="F5" s="91" t="str">
        <f>janvier!F5</f>
        <v>Groupe Advensys Luxembourg S.A</v>
      </c>
      <c r="G5" s="92"/>
    </row>
    <row r="6" spans="1:8" x14ac:dyDescent="0.2">
      <c r="A6" s="7" t="s">
        <v>1</v>
      </c>
      <c r="B6" s="67">
        <f>janvier!B6</f>
        <v>21</v>
      </c>
      <c r="C6" s="9"/>
      <c r="D6" s="10"/>
      <c r="E6" s="6"/>
      <c r="F6" s="93" t="str">
        <f>janvier!F6</f>
        <v>Duarrefstrooss 49</v>
      </c>
      <c r="G6" s="94"/>
    </row>
    <row r="7" spans="1:8" ht="12.75" thickBot="1" x14ac:dyDescent="0.25">
      <c r="A7" s="7" t="s">
        <v>2</v>
      </c>
      <c r="B7" s="67" t="str">
        <f>janvier!B7</f>
        <v xml:space="preserve">Comptable </v>
      </c>
      <c r="C7" s="9"/>
      <c r="D7" s="10"/>
      <c r="E7" s="6"/>
      <c r="F7" s="95" t="str">
        <f>janvier!F7</f>
        <v>L-9964 Huldange</v>
      </c>
      <c r="G7" s="96"/>
    </row>
    <row r="8" spans="1:8" ht="12.75" thickBot="1" x14ac:dyDescent="0.25">
      <c r="A8" s="7" t="s">
        <v>3</v>
      </c>
      <c r="B8" s="73">
        <f>janvier!B8</f>
        <v>44455</v>
      </c>
      <c r="C8" s="9"/>
      <c r="D8" s="10"/>
      <c r="E8" s="6"/>
      <c r="F8" s="67"/>
      <c r="G8" s="12"/>
    </row>
    <row r="9" spans="1:8" x14ac:dyDescent="0.2">
      <c r="A9" s="7" t="s">
        <v>4</v>
      </c>
      <c r="B9" s="67" t="str">
        <f>janvier!B9</f>
        <v>1996 0905 124 86</v>
      </c>
      <c r="C9" s="9"/>
      <c r="D9" s="10"/>
      <c r="E9" s="6"/>
      <c r="F9" s="91" t="str">
        <f>janvier!F9</f>
        <v>BERTHE Alexandra</v>
      </c>
      <c r="G9" s="92"/>
    </row>
    <row r="10" spans="1:8" x14ac:dyDescent="0.2">
      <c r="A10" s="7" t="s">
        <v>5</v>
      </c>
      <c r="B10" s="67">
        <f>janvier!B10</f>
        <v>20152206748</v>
      </c>
      <c r="C10" s="9"/>
      <c r="D10" s="10"/>
      <c r="E10" s="6"/>
      <c r="F10" s="93" t="str">
        <f>janvier!F10</f>
        <v>93, Duarrefstrooss</v>
      </c>
      <c r="G10" s="94"/>
    </row>
    <row r="11" spans="1:8" ht="12.75" thickBot="1" x14ac:dyDescent="0.25">
      <c r="A11" s="13" t="s">
        <v>6</v>
      </c>
      <c r="B11" s="14" t="s">
        <v>47</v>
      </c>
      <c r="C11" s="15"/>
      <c r="D11" s="16"/>
      <c r="E11" s="6"/>
      <c r="F11" s="95" t="str">
        <f>janvier!F11</f>
        <v>L-9964 Huldange</v>
      </c>
      <c r="G11" s="96"/>
    </row>
    <row r="12" spans="1:8" x14ac:dyDescent="0.2">
      <c r="A12" s="97" t="s">
        <v>7</v>
      </c>
      <c r="B12" s="97"/>
      <c r="C12" s="97"/>
      <c r="D12" s="97"/>
      <c r="E12" s="6"/>
      <c r="F12" s="6"/>
      <c r="G12" s="6"/>
    </row>
    <row r="13" spans="1:8" ht="12.75" thickBot="1" x14ac:dyDescent="0.25">
      <c r="A13" s="6"/>
      <c r="B13" s="6"/>
      <c r="C13" s="6"/>
      <c r="D13" s="6"/>
      <c r="E13" s="6"/>
      <c r="F13" s="6"/>
      <c r="G13" s="6"/>
    </row>
    <row r="14" spans="1:8" ht="23.25" thickBot="1" x14ac:dyDescent="0.25">
      <c r="A14" s="21" t="s">
        <v>8</v>
      </c>
      <c r="B14" s="17" t="s">
        <v>46</v>
      </c>
      <c r="C14" s="18" t="s">
        <v>9</v>
      </c>
      <c r="D14" s="19" t="s">
        <v>10</v>
      </c>
      <c r="E14" s="20"/>
      <c r="F14" s="21" t="s">
        <v>11</v>
      </c>
      <c r="G14" s="70" t="s">
        <v>10</v>
      </c>
    </row>
    <row r="15" spans="1:8" ht="12.75" thickBot="1" x14ac:dyDescent="0.25">
      <c r="A15" s="11"/>
      <c r="B15" s="22"/>
      <c r="C15" s="22"/>
      <c r="D15" s="22"/>
      <c r="E15" s="22"/>
      <c r="F15" s="22"/>
      <c r="G15" s="6"/>
    </row>
    <row r="16" spans="1:8" x14ac:dyDescent="0.2">
      <c r="A16" s="23" t="s">
        <v>12</v>
      </c>
      <c r="B16" s="24">
        <f>D50</f>
        <v>173</v>
      </c>
      <c r="C16" s="24">
        <f>D51</f>
        <v>18.296820809248555</v>
      </c>
      <c r="D16" s="25">
        <f>B16*C16</f>
        <v>3165.35</v>
      </c>
      <c r="E16" s="26"/>
      <c r="F16" s="26"/>
      <c r="G16" s="6"/>
    </row>
    <row r="17" spans="1:7" x14ac:dyDescent="0.2">
      <c r="A17" s="27" t="s">
        <v>43</v>
      </c>
      <c r="B17" s="26">
        <v>0</v>
      </c>
      <c r="C17" s="26">
        <v>0</v>
      </c>
      <c r="D17" s="28">
        <v>0</v>
      </c>
      <c r="E17" s="26"/>
      <c r="F17" s="26"/>
      <c r="G17" s="6"/>
    </row>
    <row r="18" spans="1:7" x14ac:dyDescent="0.2">
      <c r="A18" s="27" t="s">
        <v>31</v>
      </c>
      <c r="B18" s="26">
        <v>0</v>
      </c>
      <c r="C18" s="26">
        <v>0</v>
      </c>
      <c r="D18" s="28">
        <v>0</v>
      </c>
      <c r="E18" s="26"/>
      <c r="F18" s="26"/>
      <c r="G18" s="6"/>
    </row>
    <row r="19" spans="1:7" ht="12.75" thickBot="1" x14ac:dyDescent="0.25">
      <c r="A19" s="29" t="s">
        <v>48</v>
      </c>
      <c r="B19" s="30">
        <v>0</v>
      </c>
      <c r="C19" s="30">
        <v>0</v>
      </c>
      <c r="D19" s="31">
        <v>0</v>
      </c>
      <c r="E19" s="26"/>
      <c r="F19" s="26"/>
      <c r="G19" s="6"/>
    </row>
    <row r="20" spans="1:7" ht="12.75" thickBot="1" x14ac:dyDescent="0.25">
      <c r="A20" s="102" t="s">
        <v>13</v>
      </c>
      <c r="B20" s="102"/>
      <c r="C20" s="102"/>
      <c r="D20" s="32">
        <f>D16</f>
        <v>3165.35</v>
      </c>
      <c r="E20" s="33"/>
      <c r="F20" s="42">
        <f>janvier!G20</f>
        <v>3165.35</v>
      </c>
      <c r="G20" s="62">
        <f>F20+D20</f>
        <v>6330.7</v>
      </c>
    </row>
    <row r="21" spans="1:7" ht="12.75" thickBot="1" x14ac:dyDescent="0.25">
      <c r="A21" s="9"/>
      <c r="B21" s="26"/>
      <c r="C21" s="26"/>
      <c r="D21" s="33"/>
      <c r="E21" s="33"/>
      <c r="F21" s="24"/>
      <c r="G21" s="68"/>
    </row>
    <row r="22" spans="1:7" ht="12.75" thickBot="1" x14ac:dyDescent="0.25">
      <c r="A22" s="35" t="s">
        <v>14</v>
      </c>
      <c r="B22" s="36"/>
      <c r="C22" s="36"/>
      <c r="D22" s="37"/>
      <c r="E22" s="9"/>
      <c r="F22" s="26"/>
      <c r="G22" s="68"/>
    </row>
    <row r="23" spans="1:7" x14ac:dyDescent="0.2">
      <c r="A23" s="39" t="s">
        <v>15</v>
      </c>
      <c r="B23" s="40">
        <f>janvier!B23</f>
        <v>2.8000000000000001E-2</v>
      </c>
      <c r="C23" s="26"/>
      <c r="D23" s="41">
        <f>D20*B23</f>
        <v>88.629800000000003</v>
      </c>
      <c r="E23" s="26"/>
      <c r="F23" s="42">
        <f>janvier!G23</f>
        <v>88.629800000000003</v>
      </c>
      <c r="G23" s="63">
        <f>F23+D23</f>
        <v>177.25960000000001</v>
      </c>
    </row>
    <row r="24" spans="1:7" x14ac:dyDescent="0.2">
      <c r="A24" s="39" t="s">
        <v>16</v>
      </c>
      <c r="B24" s="40">
        <f>janvier!B24</f>
        <v>2.5000000000000001E-3</v>
      </c>
      <c r="C24" s="26"/>
      <c r="D24" s="41">
        <f>B24*D20</f>
        <v>7.9133750000000003</v>
      </c>
      <c r="E24" s="26"/>
      <c r="F24" s="43">
        <f>janvier!G24</f>
        <v>7.9133750000000003</v>
      </c>
      <c r="G24" s="64">
        <f t="shared" ref="G24:G42" si="0">F24+D24</f>
        <v>15.826750000000001</v>
      </c>
    </row>
    <row r="25" spans="1:7" x14ac:dyDescent="0.2">
      <c r="A25" s="39" t="s">
        <v>17</v>
      </c>
      <c r="B25" s="40">
        <f>janvier!B25</f>
        <v>0.08</v>
      </c>
      <c r="C25" s="26"/>
      <c r="D25" s="41">
        <f>B25*D20</f>
        <v>253.22800000000001</v>
      </c>
      <c r="E25" s="26"/>
      <c r="F25" s="43">
        <f>janvier!G25</f>
        <v>253.22800000000001</v>
      </c>
      <c r="G25" s="64">
        <f t="shared" si="0"/>
        <v>506.45600000000002</v>
      </c>
    </row>
    <row r="26" spans="1:7" ht="12.75" thickBot="1" x14ac:dyDescent="0.25">
      <c r="A26" s="39" t="s">
        <v>18</v>
      </c>
      <c r="B26" s="40">
        <f>janvier!B26</f>
        <v>1.4E-2</v>
      </c>
      <c r="C26" s="26"/>
      <c r="D26" s="41">
        <f>B26*(D20-659.45)</f>
        <v>35.082599999999992</v>
      </c>
      <c r="E26" s="26"/>
      <c r="F26" s="46">
        <f>janvier!G26</f>
        <v>35.316679999999998</v>
      </c>
      <c r="G26" s="65">
        <f t="shared" si="0"/>
        <v>70.39927999999999</v>
      </c>
    </row>
    <row r="27" spans="1:7" ht="12.75" thickBot="1" x14ac:dyDescent="0.25">
      <c r="A27" s="100" t="s">
        <v>19</v>
      </c>
      <c r="B27" s="100"/>
      <c r="C27" s="100"/>
      <c r="D27" s="44">
        <f>SUM(D23:D26)</f>
        <v>384.85377500000004</v>
      </c>
      <c r="E27" s="33"/>
      <c r="F27" s="34">
        <f>janvier!G27</f>
        <v>385.08785500000005</v>
      </c>
      <c r="G27" s="62">
        <f t="shared" si="0"/>
        <v>769.94163000000003</v>
      </c>
    </row>
    <row r="28" spans="1:7" ht="12.75" thickBot="1" x14ac:dyDescent="0.25">
      <c r="A28" s="9"/>
      <c r="B28" s="40"/>
      <c r="C28" s="26"/>
      <c r="D28" s="33"/>
      <c r="E28" s="33"/>
      <c r="F28" s="26"/>
      <c r="G28" s="68"/>
    </row>
    <row r="29" spans="1:7" ht="12.75" thickBot="1" x14ac:dyDescent="0.25">
      <c r="A29" s="23" t="s">
        <v>20</v>
      </c>
      <c r="B29" s="24"/>
      <c r="C29" s="24"/>
      <c r="D29" s="45"/>
      <c r="E29" s="33"/>
      <c r="F29" s="26"/>
      <c r="G29" s="68"/>
    </row>
    <row r="30" spans="1:7" x14ac:dyDescent="0.2">
      <c r="A30" s="27" t="s">
        <v>21</v>
      </c>
      <c r="B30" s="26"/>
      <c r="C30" s="26"/>
      <c r="D30" s="28">
        <f>janvier!D30</f>
        <v>0</v>
      </c>
      <c r="E30" s="26"/>
      <c r="F30" s="42">
        <f>janvier!G30</f>
        <v>0</v>
      </c>
      <c r="G30" s="63">
        <f>F30+D30</f>
        <v>0</v>
      </c>
    </row>
    <row r="31" spans="1:7" x14ac:dyDescent="0.2">
      <c r="A31" s="27" t="s">
        <v>22</v>
      </c>
      <c r="B31" s="26"/>
      <c r="C31" s="26"/>
      <c r="D31" s="28">
        <f>janvier!D31</f>
        <v>0</v>
      </c>
      <c r="E31" s="26"/>
      <c r="F31" s="43">
        <f>janvier!G31</f>
        <v>0</v>
      </c>
      <c r="G31" s="64">
        <f t="shared" si="0"/>
        <v>0</v>
      </c>
    </row>
    <row r="32" spans="1:7" x14ac:dyDescent="0.2">
      <c r="A32" s="27" t="s">
        <v>23</v>
      </c>
      <c r="B32" s="26"/>
      <c r="C32" s="26"/>
      <c r="D32" s="28">
        <f>janvier!D32</f>
        <v>0</v>
      </c>
      <c r="E32" s="26"/>
      <c r="F32" s="43">
        <f>janvier!G32</f>
        <v>0</v>
      </c>
      <c r="G32" s="64">
        <f t="shared" si="0"/>
        <v>0</v>
      </c>
    </row>
    <row r="33" spans="1:9" ht="12.75" thickBot="1" x14ac:dyDescent="0.25">
      <c r="A33" s="29" t="s">
        <v>24</v>
      </c>
      <c r="B33" s="30"/>
      <c r="C33" s="30"/>
      <c r="D33" s="31">
        <f>janvier!D33</f>
        <v>0</v>
      </c>
      <c r="E33" s="26"/>
      <c r="F33" s="46">
        <f>janvier!G33</f>
        <v>0</v>
      </c>
      <c r="G33" s="65">
        <f t="shared" si="0"/>
        <v>0</v>
      </c>
    </row>
    <row r="34" spans="1:9" ht="12.75" thickBot="1" x14ac:dyDescent="0.25">
      <c r="A34" s="11"/>
      <c r="B34" s="26"/>
      <c r="C34" s="26"/>
      <c r="D34" s="26"/>
      <c r="E34" s="26"/>
      <c r="F34" s="26"/>
      <c r="G34" s="68"/>
    </row>
    <row r="35" spans="1:9" ht="12.75" thickBot="1" x14ac:dyDescent="0.25">
      <c r="A35" s="100" t="s">
        <v>25</v>
      </c>
      <c r="B35" s="100"/>
      <c r="C35" s="100"/>
      <c r="D35" s="44">
        <f>D20-D23-D24-D25-D30-D31-D32-D33</f>
        <v>2815.5788249999996</v>
      </c>
      <c r="E35" s="33"/>
      <c r="F35" s="34">
        <f>janvier!G35</f>
        <v>2815.5788249999996</v>
      </c>
      <c r="G35" s="62">
        <f t="shared" si="0"/>
        <v>5631.1576499999992</v>
      </c>
    </row>
    <row r="36" spans="1:9" ht="12.75" thickBot="1" x14ac:dyDescent="0.25">
      <c r="A36" s="9"/>
      <c r="B36" s="26"/>
      <c r="C36" s="26"/>
      <c r="D36" s="33"/>
      <c r="E36" s="33"/>
      <c r="F36" s="26"/>
      <c r="G36" s="68"/>
    </row>
    <row r="37" spans="1:9" x14ac:dyDescent="0.2">
      <c r="A37" s="47" t="s">
        <v>26</v>
      </c>
      <c r="B37" s="24"/>
      <c r="C37" s="24"/>
      <c r="D37" s="25">
        <f>janvier!D37</f>
        <v>225.3</v>
      </c>
      <c r="E37" s="26"/>
      <c r="F37" s="42">
        <f>janvier!G37</f>
        <v>225.3</v>
      </c>
      <c r="G37" s="63">
        <f t="shared" si="0"/>
        <v>450.6</v>
      </c>
    </row>
    <row r="38" spans="1:9" x14ac:dyDescent="0.2">
      <c r="A38" s="72" t="s">
        <v>44</v>
      </c>
      <c r="B38" s="26"/>
      <c r="C38" s="26"/>
      <c r="D38" s="28">
        <f>IF(D20&lt;1800,0,IF(D20&lt;=3000,81,IF(D20&gt;=3600,0,81/600*(3600-D20))))</f>
        <v>58.677750000000017</v>
      </c>
      <c r="E38" s="26"/>
      <c r="F38" s="43">
        <f>janvier!G38+7.97</f>
        <v>66.647750000000016</v>
      </c>
      <c r="G38" s="64">
        <f>F38+D38</f>
        <v>125.32550000000003</v>
      </c>
    </row>
    <row r="39" spans="1:9" x14ac:dyDescent="0.2">
      <c r="A39" s="27" t="s">
        <v>27</v>
      </c>
      <c r="B39" s="26"/>
      <c r="C39" s="26"/>
      <c r="D39" s="28">
        <f>IF(D20&lt;78,0,IF(D20&lt;936,((300+(D20*12-936)*0.029)/12),IF(D20&lt;3333.33,50,IF(D20&gt;6666.5,0,((600-(D20*12-40000)*0.015)/12)))))</f>
        <v>50</v>
      </c>
      <c r="E39" s="81"/>
      <c r="F39" s="43">
        <f>janvier!G39</f>
        <v>50</v>
      </c>
      <c r="G39" s="64">
        <f t="shared" si="0"/>
        <v>100</v>
      </c>
      <c r="I39" s="84"/>
    </row>
    <row r="40" spans="1:9" ht="12.75" thickBot="1" x14ac:dyDescent="0.25">
      <c r="A40" s="29" t="s">
        <v>58</v>
      </c>
      <c r="B40" s="30"/>
      <c r="C40" s="30"/>
      <c r="D40" s="31">
        <f>IF(D20&lt;78,0,IF(D20&lt;3333.33,16,IF(D20&lt;6667,((16-(D20-3333.33)*0.0042)),0)))</f>
        <v>16</v>
      </c>
      <c r="E40" s="81"/>
      <c r="F40" s="46">
        <f>janvier!G40+2</f>
        <v>18</v>
      </c>
      <c r="G40" s="65">
        <f>D40+F40</f>
        <v>34</v>
      </c>
    </row>
    <row r="41" spans="1:9" ht="12.75" thickBot="1" x14ac:dyDescent="0.25">
      <c r="A41" s="11"/>
      <c r="B41" s="26"/>
      <c r="C41" s="26"/>
      <c r="D41" s="22"/>
      <c r="E41" s="22"/>
      <c r="F41" s="26"/>
      <c r="G41" s="68"/>
    </row>
    <row r="42" spans="1:9" ht="12.75" thickBot="1" x14ac:dyDescent="0.25">
      <c r="A42" s="100" t="s">
        <v>28</v>
      </c>
      <c r="B42" s="100"/>
      <c r="C42" s="100"/>
      <c r="D42" s="48">
        <f>D20-D27-D37+D38+D39+D40</f>
        <v>2679.8739749999995</v>
      </c>
      <c r="E42" s="26"/>
      <c r="F42" s="34">
        <f>janvier!G42</f>
        <v>2679.6398949999993</v>
      </c>
      <c r="G42" s="62">
        <f t="shared" si="0"/>
        <v>5359.5138699999989</v>
      </c>
    </row>
    <row r="43" spans="1:9" ht="12.75" thickBot="1" x14ac:dyDescent="0.25">
      <c r="A43" s="100" t="s">
        <v>60</v>
      </c>
      <c r="B43" s="100"/>
      <c r="C43" s="100"/>
      <c r="D43" s="48">
        <v>56</v>
      </c>
      <c r="E43" s="11"/>
      <c r="F43" s="11" t="s">
        <v>29</v>
      </c>
      <c r="G43" s="68"/>
    </row>
    <row r="44" spans="1:9" ht="12.75" thickBot="1" x14ac:dyDescent="0.25">
      <c r="A44" s="98" t="s">
        <v>61</v>
      </c>
      <c r="B44" s="99"/>
      <c r="C44" s="99"/>
      <c r="D44" s="83">
        <v>1700</v>
      </c>
      <c r="E44" s="11"/>
      <c r="F44" s="69" t="s">
        <v>30</v>
      </c>
      <c r="G44" s="62">
        <f>D42-D43-D44+D45</f>
        <v>933.84397499999955</v>
      </c>
    </row>
    <row r="45" spans="1:9" ht="12.75" thickBot="1" x14ac:dyDescent="0.25">
      <c r="A45" s="98" t="s">
        <v>63</v>
      </c>
      <c r="B45" s="99"/>
      <c r="C45" s="99"/>
      <c r="D45" s="83">
        <v>9.9700000000000006</v>
      </c>
      <c r="E45" s="11"/>
      <c r="F45" s="9"/>
      <c r="G45" s="68"/>
    </row>
    <row r="46" spans="1:9" ht="12.75" thickBot="1" x14ac:dyDescent="0.25">
      <c r="A46" s="11"/>
      <c r="B46" s="11"/>
      <c r="C46" s="11"/>
      <c r="D46" s="11"/>
      <c r="E46" s="11"/>
      <c r="F46" s="9"/>
      <c r="G46" s="6"/>
    </row>
    <row r="47" spans="1:9" ht="12.75" thickBot="1" x14ac:dyDescent="0.25">
      <c r="A47" s="50" t="s">
        <v>31</v>
      </c>
      <c r="B47" s="11"/>
      <c r="C47" s="38"/>
      <c r="D47" s="38"/>
      <c r="E47" s="38"/>
      <c r="F47" s="38"/>
      <c r="G47" s="6"/>
    </row>
    <row r="48" spans="1:9" ht="12.75" thickBot="1" x14ac:dyDescent="0.25">
      <c r="A48" s="51" t="s">
        <v>55</v>
      </c>
      <c r="B48" s="8">
        <f>janvier!B47</f>
        <v>208</v>
      </c>
      <c r="C48" s="100" t="s">
        <v>32</v>
      </c>
      <c r="D48" s="101"/>
      <c r="E48" s="49"/>
      <c r="F48" s="88" t="s">
        <v>33</v>
      </c>
      <c r="G48" s="89"/>
    </row>
    <row r="49" spans="1:7" x14ac:dyDescent="0.2">
      <c r="A49" s="82" t="s">
        <v>56</v>
      </c>
      <c r="B49" s="8">
        <f>janvier!B48</f>
        <v>-4</v>
      </c>
      <c r="C49" s="51" t="s">
        <v>34</v>
      </c>
      <c r="D49" s="52">
        <f>D50*D51</f>
        <v>3165.35</v>
      </c>
      <c r="E49" s="26"/>
      <c r="F49" s="53" t="s">
        <v>35</v>
      </c>
      <c r="G49" s="66" t="str">
        <f>janvier!G48</f>
        <v>D608388-2022</v>
      </c>
    </row>
    <row r="50" spans="1:7" x14ac:dyDescent="0.2">
      <c r="A50" s="54" t="s">
        <v>36</v>
      </c>
      <c r="B50" s="8">
        <f>janvier!B49+B18</f>
        <v>16</v>
      </c>
      <c r="C50" s="54" t="s">
        <v>37</v>
      </c>
      <c r="D50" s="55">
        <f>janvier!D49</f>
        <v>173</v>
      </c>
      <c r="E50" s="26"/>
      <c r="F50" s="56" t="s">
        <v>38</v>
      </c>
      <c r="G50" s="57">
        <f>janvier!G49</f>
        <v>1</v>
      </c>
    </row>
    <row r="51" spans="1:7" ht="12.75" thickBot="1" x14ac:dyDescent="0.25">
      <c r="A51" s="58" t="s">
        <v>39</v>
      </c>
      <c r="B51" s="8">
        <f>(B49+B48)-B50</f>
        <v>188</v>
      </c>
      <c r="C51" s="58" t="s">
        <v>40</v>
      </c>
      <c r="D51" s="59">
        <f>janvier!D50</f>
        <v>18.296820809248555</v>
      </c>
      <c r="E51" s="26"/>
      <c r="F51" s="60" t="s">
        <v>41</v>
      </c>
      <c r="G51" s="74" t="str">
        <f>janvier!G50</f>
        <v>-</v>
      </c>
    </row>
    <row r="52" spans="1:7" x14ac:dyDescent="0.2">
      <c r="A52" s="9"/>
      <c r="B52" s="8"/>
      <c r="C52" s="9"/>
      <c r="D52" s="26"/>
      <c r="E52" s="26"/>
      <c r="F52" s="11"/>
      <c r="G52" s="6"/>
    </row>
    <row r="53" spans="1:7" x14ac:dyDescent="0.2">
      <c r="A53" s="90" t="s">
        <v>42</v>
      </c>
      <c r="B53" s="90"/>
      <c r="C53" s="90"/>
      <c r="D53" s="90"/>
      <c r="E53" s="11"/>
      <c r="F53" s="11"/>
      <c r="G53" s="6"/>
    </row>
    <row r="58" spans="1:7" ht="15" x14ac:dyDescent="0.25">
      <c r="B58"/>
    </row>
  </sheetData>
  <mergeCells count="18">
    <mergeCell ref="F10:G10"/>
    <mergeCell ref="A2:G2"/>
    <mergeCell ref="F5:G5"/>
    <mergeCell ref="F6:G6"/>
    <mergeCell ref="F7:G7"/>
    <mergeCell ref="F9:G9"/>
    <mergeCell ref="F48:G48"/>
    <mergeCell ref="A53:D53"/>
    <mergeCell ref="F11:G11"/>
    <mergeCell ref="A12:D12"/>
    <mergeCell ref="A20:C20"/>
    <mergeCell ref="A27:C27"/>
    <mergeCell ref="A35:C35"/>
    <mergeCell ref="A42:C42"/>
    <mergeCell ref="C48:D48"/>
    <mergeCell ref="A43:C43"/>
    <mergeCell ref="A44:C44"/>
    <mergeCell ref="A45:C45"/>
  </mergeCells>
  <pageMargins left="0.7" right="0.7" top="0.75" bottom="0.75" header="0.3" footer="0.3"/>
  <pageSetup paperSize="9" orientation="portrait" r:id="rId1"/>
  <headerFooter>
    <oddFooter>&amp;LGroupe Advensys 
contact@advensys-conseil.lu&amp;C
Grand rue 34
L-9710 Clervaux&amp;R+352 28 79 76 26
+352 661 11 22 60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08793-6847-44DF-A803-E8C26EC03D63}">
  <sheetPr codeName="Feuil3"/>
  <dimension ref="A1:H57"/>
  <sheetViews>
    <sheetView topLeftCell="A12" zoomScaleNormal="100" workbookViewId="0">
      <selection activeCell="J45" sqref="J45"/>
    </sheetView>
  </sheetViews>
  <sheetFormatPr baseColWidth="10" defaultColWidth="11.42578125" defaultRowHeight="12" x14ac:dyDescent="0.2"/>
  <cols>
    <col min="1" max="1" width="20.140625" style="1" bestFit="1" customWidth="1"/>
    <col min="2" max="2" width="10.42578125" style="1" customWidth="1"/>
    <col min="3" max="3" width="15" style="1" customWidth="1"/>
    <col min="4" max="4" width="8.7109375" style="1" customWidth="1"/>
    <col min="5" max="5" width="5" style="1" customWidth="1"/>
    <col min="6" max="6" width="13.85546875" style="1" customWidth="1"/>
    <col min="7" max="7" width="14.28515625" style="1" customWidth="1"/>
    <col min="8" max="16384" width="11.42578125" style="1"/>
  </cols>
  <sheetData>
    <row r="1" spans="1:8" ht="12.75" thickBot="1" x14ac:dyDescent="0.25"/>
    <row r="2" spans="1:8" ht="15.75" thickBot="1" x14ac:dyDescent="0.3">
      <c r="A2" s="85" t="s">
        <v>45</v>
      </c>
      <c r="B2" s="86"/>
      <c r="C2" s="86"/>
      <c r="D2" s="86"/>
      <c r="E2" s="86"/>
      <c r="F2" s="86"/>
      <c r="G2" s="87"/>
      <c r="H2" s="2"/>
    </row>
    <row r="4" spans="1:8" ht="12.75" thickBot="1" x14ac:dyDescent="0.25"/>
    <row r="5" spans="1:8" x14ac:dyDescent="0.2">
      <c r="A5" s="3" t="s">
        <v>0</v>
      </c>
      <c r="B5" s="61">
        <f>février!B5</f>
        <v>2</v>
      </c>
      <c r="C5" s="4"/>
      <c r="D5" s="5"/>
      <c r="E5" s="6"/>
      <c r="F5" s="91" t="str">
        <f>février!F5</f>
        <v>Groupe Advensys Luxembourg S.A</v>
      </c>
      <c r="G5" s="92"/>
    </row>
    <row r="6" spans="1:8" x14ac:dyDescent="0.2">
      <c r="A6" s="7" t="s">
        <v>1</v>
      </c>
      <c r="B6" s="67">
        <f>février!B6</f>
        <v>21</v>
      </c>
      <c r="C6" s="9"/>
      <c r="D6" s="10"/>
      <c r="E6" s="6"/>
      <c r="F6" s="93" t="str">
        <f>février!F6</f>
        <v>Duarrefstrooss 49</v>
      </c>
      <c r="G6" s="94"/>
    </row>
    <row r="7" spans="1:8" ht="12.75" thickBot="1" x14ac:dyDescent="0.25">
      <c r="A7" s="7" t="s">
        <v>2</v>
      </c>
      <c r="B7" s="67" t="str">
        <f>février!B7</f>
        <v xml:space="preserve">Comptable </v>
      </c>
      <c r="C7" s="9"/>
      <c r="D7" s="10"/>
      <c r="E7" s="6"/>
      <c r="F7" s="95" t="str">
        <f>février!F7</f>
        <v>L-9964 Huldange</v>
      </c>
      <c r="G7" s="96"/>
    </row>
    <row r="8" spans="1:8" ht="12.75" thickBot="1" x14ac:dyDescent="0.25">
      <c r="A8" s="7" t="s">
        <v>3</v>
      </c>
      <c r="B8" s="73">
        <f>février!B8</f>
        <v>44455</v>
      </c>
      <c r="C8" s="9"/>
      <c r="D8" s="10"/>
      <c r="E8" s="6"/>
      <c r="F8" s="67"/>
      <c r="G8" s="12"/>
    </row>
    <row r="9" spans="1:8" x14ac:dyDescent="0.2">
      <c r="A9" s="7" t="s">
        <v>4</v>
      </c>
      <c r="B9" s="67" t="str">
        <f>février!B9</f>
        <v>1996 0905 124 86</v>
      </c>
      <c r="C9" s="9"/>
      <c r="D9" s="10"/>
      <c r="E9" s="6"/>
      <c r="F9" s="91" t="str">
        <f>février!F9</f>
        <v>BERTHE Alexandra</v>
      </c>
      <c r="G9" s="92"/>
    </row>
    <row r="10" spans="1:8" x14ac:dyDescent="0.2">
      <c r="A10" s="7" t="s">
        <v>5</v>
      </c>
      <c r="B10" s="67">
        <f>février!B10</f>
        <v>20152206748</v>
      </c>
      <c r="C10" s="9"/>
      <c r="D10" s="10"/>
      <c r="E10" s="6"/>
      <c r="F10" s="93" t="str">
        <f>février!F10</f>
        <v>93, Duarrefstrooss</v>
      </c>
      <c r="G10" s="94"/>
    </row>
    <row r="11" spans="1:8" ht="12.75" thickBot="1" x14ac:dyDescent="0.25">
      <c r="A11" s="13" t="s">
        <v>6</v>
      </c>
      <c r="B11" s="14" t="s">
        <v>49</v>
      </c>
      <c r="C11" s="15"/>
      <c r="D11" s="16"/>
      <c r="E11" s="6"/>
      <c r="F11" s="95" t="str">
        <f>février!F11</f>
        <v>L-9964 Huldange</v>
      </c>
      <c r="G11" s="96"/>
    </row>
    <row r="12" spans="1:8" x14ac:dyDescent="0.2">
      <c r="A12" s="97" t="s">
        <v>7</v>
      </c>
      <c r="B12" s="97"/>
      <c r="C12" s="97"/>
      <c r="D12" s="97"/>
      <c r="E12" s="6"/>
      <c r="F12" s="6"/>
      <c r="G12" s="6"/>
    </row>
    <row r="13" spans="1:8" ht="12.75" thickBot="1" x14ac:dyDescent="0.25">
      <c r="A13" s="6"/>
      <c r="B13" s="6"/>
      <c r="C13" s="6"/>
      <c r="D13" s="6"/>
      <c r="E13" s="6"/>
      <c r="F13" s="6"/>
      <c r="G13" s="6"/>
    </row>
    <row r="14" spans="1:8" ht="23.25" thickBot="1" x14ac:dyDescent="0.25">
      <c r="A14" s="21" t="s">
        <v>8</v>
      </c>
      <c r="B14" s="17" t="s">
        <v>46</v>
      </c>
      <c r="C14" s="18" t="s">
        <v>9</v>
      </c>
      <c r="D14" s="19" t="s">
        <v>10</v>
      </c>
      <c r="E14" s="20"/>
      <c r="F14" s="21" t="s">
        <v>11</v>
      </c>
      <c r="G14" s="70" t="s">
        <v>10</v>
      </c>
    </row>
    <row r="15" spans="1:8" ht="12.75" thickBot="1" x14ac:dyDescent="0.25">
      <c r="A15" s="11"/>
      <c r="B15" s="22"/>
      <c r="C15" s="22"/>
      <c r="D15" s="22"/>
      <c r="E15" s="22"/>
      <c r="F15" s="22"/>
      <c r="G15" s="6"/>
    </row>
    <row r="16" spans="1:8" x14ac:dyDescent="0.2">
      <c r="A16" s="23" t="s">
        <v>12</v>
      </c>
      <c r="B16" s="24">
        <f>D49</f>
        <v>173</v>
      </c>
      <c r="C16" s="24">
        <f>D50</f>
        <v>18.296820809248555</v>
      </c>
      <c r="D16" s="25">
        <f>B16*C16</f>
        <v>3165.35</v>
      </c>
      <c r="E16" s="26"/>
      <c r="F16" s="26"/>
      <c r="G16" s="6"/>
    </row>
    <row r="17" spans="1:7" x14ac:dyDescent="0.2">
      <c r="A17" s="27" t="s">
        <v>43</v>
      </c>
      <c r="B17" s="26">
        <v>0</v>
      </c>
      <c r="C17" s="26">
        <v>0</v>
      </c>
      <c r="D17" s="28">
        <v>0</v>
      </c>
      <c r="E17" s="26"/>
      <c r="F17" s="26"/>
      <c r="G17" s="6"/>
    </row>
    <row r="18" spans="1:7" x14ac:dyDescent="0.2">
      <c r="A18" s="27" t="s">
        <v>31</v>
      </c>
      <c r="B18" s="26">
        <v>0</v>
      </c>
      <c r="C18" s="26">
        <v>0</v>
      </c>
      <c r="D18" s="28">
        <v>0</v>
      </c>
      <c r="E18" s="26"/>
      <c r="F18" s="26"/>
      <c r="G18" s="6"/>
    </row>
    <row r="19" spans="1:7" ht="12.75" thickBot="1" x14ac:dyDescent="0.25">
      <c r="A19" s="29" t="s">
        <v>48</v>
      </c>
      <c r="B19" s="30">
        <v>24</v>
      </c>
      <c r="C19" s="30">
        <v>0</v>
      </c>
      <c r="D19" s="31">
        <v>0</v>
      </c>
      <c r="E19" s="26"/>
      <c r="F19" s="26"/>
      <c r="G19" s="6"/>
    </row>
    <row r="20" spans="1:7" ht="12.75" thickBot="1" x14ac:dyDescent="0.25">
      <c r="A20" s="102" t="s">
        <v>13</v>
      </c>
      <c r="B20" s="102"/>
      <c r="C20" s="102"/>
      <c r="D20" s="32">
        <f>D16</f>
        <v>3165.35</v>
      </c>
      <c r="E20" s="33"/>
      <c r="F20" s="42">
        <f>février!G20</f>
        <v>6330.7</v>
      </c>
      <c r="G20" s="62">
        <f>F20+D20</f>
        <v>9496.0499999999993</v>
      </c>
    </row>
    <row r="21" spans="1:7" ht="12.75" thickBot="1" x14ac:dyDescent="0.25">
      <c r="A21" s="9"/>
      <c r="B21" s="26"/>
      <c r="C21" s="26"/>
      <c r="D21" s="33"/>
      <c r="E21" s="33"/>
      <c r="F21" s="24"/>
      <c r="G21" s="68"/>
    </row>
    <row r="22" spans="1:7" ht="12.75" thickBot="1" x14ac:dyDescent="0.25">
      <c r="A22" s="35" t="s">
        <v>14</v>
      </c>
      <c r="B22" s="36"/>
      <c r="C22" s="36"/>
      <c r="D22" s="37"/>
      <c r="E22" s="9"/>
      <c r="F22" s="26"/>
      <c r="G22" s="68"/>
    </row>
    <row r="23" spans="1:7" x14ac:dyDescent="0.2">
      <c r="A23" s="39" t="s">
        <v>15</v>
      </c>
      <c r="B23" s="40">
        <f>février!B23</f>
        <v>2.8000000000000001E-2</v>
      </c>
      <c r="C23" s="26"/>
      <c r="D23" s="41">
        <f>D20*B23</f>
        <v>88.629800000000003</v>
      </c>
      <c r="E23" s="26"/>
      <c r="F23" s="42">
        <f>février!G23</f>
        <v>177.25960000000001</v>
      </c>
      <c r="G23" s="63">
        <f>F23+D23</f>
        <v>265.88940000000002</v>
      </c>
    </row>
    <row r="24" spans="1:7" x14ac:dyDescent="0.2">
      <c r="A24" s="39" t="s">
        <v>16</v>
      </c>
      <c r="B24" s="40">
        <f>février!B24</f>
        <v>2.5000000000000001E-3</v>
      </c>
      <c r="C24" s="26"/>
      <c r="D24" s="41">
        <f>B24*D20</f>
        <v>7.9133750000000003</v>
      </c>
      <c r="E24" s="26"/>
      <c r="F24" s="43">
        <f>février!G24</f>
        <v>15.826750000000001</v>
      </c>
      <c r="G24" s="64">
        <f t="shared" ref="G24:G42" si="0">F24+D24</f>
        <v>23.740124999999999</v>
      </c>
    </row>
    <row r="25" spans="1:7" x14ac:dyDescent="0.2">
      <c r="A25" s="39" t="s">
        <v>17</v>
      </c>
      <c r="B25" s="40">
        <f>février!B25</f>
        <v>0.08</v>
      </c>
      <c r="C25" s="26"/>
      <c r="D25" s="41">
        <f>B25*D20</f>
        <v>253.22800000000001</v>
      </c>
      <c r="E25" s="26"/>
      <c r="F25" s="43">
        <f>février!G25</f>
        <v>506.45600000000002</v>
      </c>
      <c r="G25" s="64">
        <f t="shared" si="0"/>
        <v>759.68399999999997</v>
      </c>
    </row>
    <row r="26" spans="1:7" ht="12.75" thickBot="1" x14ac:dyDescent="0.25">
      <c r="A26" s="39" t="s">
        <v>18</v>
      </c>
      <c r="B26" s="40">
        <f>février!B26</f>
        <v>1.4E-2</v>
      </c>
      <c r="C26" s="26"/>
      <c r="D26" s="41">
        <f>B26*(D20-642.73)</f>
        <v>35.316679999999998</v>
      </c>
      <c r="E26" s="26"/>
      <c r="F26" s="46">
        <f>février!G26</f>
        <v>70.39927999999999</v>
      </c>
      <c r="G26" s="65">
        <f>F26+D26</f>
        <v>105.71596</v>
      </c>
    </row>
    <row r="27" spans="1:7" ht="12.75" thickBot="1" x14ac:dyDescent="0.25">
      <c r="A27" s="100" t="s">
        <v>19</v>
      </c>
      <c r="B27" s="100"/>
      <c r="C27" s="100"/>
      <c r="D27" s="44">
        <f>SUM(D23:D26)</f>
        <v>385.08785500000005</v>
      </c>
      <c r="E27" s="33"/>
      <c r="F27" s="34">
        <f>février!G27</f>
        <v>769.94163000000003</v>
      </c>
      <c r="G27" s="62">
        <f>F27+D27</f>
        <v>1155.029485</v>
      </c>
    </row>
    <row r="28" spans="1:7" ht="12.75" thickBot="1" x14ac:dyDescent="0.25">
      <c r="A28" s="9"/>
      <c r="B28" s="40"/>
      <c r="C28" s="26"/>
      <c r="D28" s="33"/>
      <c r="E28" s="33"/>
      <c r="F28" s="26"/>
      <c r="G28" s="68"/>
    </row>
    <row r="29" spans="1:7" ht="12.75" thickBot="1" x14ac:dyDescent="0.25">
      <c r="A29" s="23" t="s">
        <v>20</v>
      </c>
      <c r="B29" s="24"/>
      <c r="C29" s="24"/>
      <c r="D29" s="45"/>
      <c r="E29" s="33"/>
      <c r="F29" s="26"/>
      <c r="G29" s="68"/>
    </row>
    <row r="30" spans="1:7" x14ac:dyDescent="0.2">
      <c r="A30" s="27" t="s">
        <v>21</v>
      </c>
      <c r="B30" s="26"/>
      <c r="C30" s="26"/>
      <c r="D30" s="28">
        <f>février!D30</f>
        <v>0</v>
      </c>
      <c r="E30" s="26"/>
      <c r="F30" s="42">
        <f>février!G30</f>
        <v>0</v>
      </c>
      <c r="G30" s="63">
        <f>F30+D30</f>
        <v>0</v>
      </c>
    </row>
    <row r="31" spans="1:7" x14ac:dyDescent="0.2">
      <c r="A31" s="27" t="s">
        <v>22</v>
      </c>
      <c r="B31" s="26"/>
      <c r="C31" s="26"/>
      <c r="D31" s="28">
        <f>février!D31</f>
        <v>0</v>
      </c>
      <c r="E31" s="26"/>
      <c r="F31" s="43">
        <f>février!G31</f>
        <v>0</v>
      </c>
      <c r="G31" s="64">
        <f t="shared" si="0"/>
        <v>0</v>
      </c>
    </row>
    <row r="32" spans="1:7" x14ac:dyDescent="0.2">
      <c r="A32" s="27" t="s">
        <v>23</v>
      </c>
      <c r="B32" s="26"/>
      <c r="C32" s="26"/>
      <c r="D32" s="28">
        <f>février!D32</f>
        <v>0</v>
      </c>
      <c r="E32" s="26"/>
      <c r="F32" s="43">
        <f>février!G32</f>
        <v>0</v>
      </c>
      <c r="G32" s="64">
        <f t="shared" si="0"/>
        <v>0</v>
      </c>
    </row>
    <row r="33" spans="1:7" ht="12.75" thickBot="1" x14ac:dyDescent="0.25">
      <c r="A33" s="29" t="s">
        <v>24</v>
      </c>
      <c r="B33" s="30"/>
      <c r="C33" s="30"/>
      <c r="D33" s="31">
        <f>février!D33</f>
        <v>0</v>
      </c>
      <c r="E33" s="26"/>
      <c r="F33" s="46">
        <f>février!G33</f>
        <v>0</v>
      </c>
      <c r="G33" s="65">
        <f t="shared" si="0"/>
        <v>0</v>
      </c>
    </row>
    <row r="34" spans="1:7" ht="12.75" thickBot="1" x14ac:dyDescent="0.25">
      <c r="A34" s="11"/>
      <c r="B34" s="26"/>
      <c r="C34" s="26"/>
      <c r="D34" s="26"/>
      <c r="E34" s="26"/>
      <c r="F34" s="26"/>
      <c r="G34" s="68"/>
    </row>
    <row r="35" spans="1:7" ht="12.75" thickBot="1" x14ac:dyDescent="0.25">
      <c r="A35" s="100" t="s">
        <v>25</v>
      </c>
      <c r="B35" s="100"/>
      <c r="C35" s="100"/>
      <c r="D35" s="44">
        <f>D20-D23-D24-D25-D30-D31-D32-D33</f>
        <v>2815.5788249999996</v>
      </c>
      <c r="E35" s="33"/>
      <c r="F35" s="34">
        <f>février!G35</f>
        <v>5631.1576499999992</v>
      </c>
      <c r="G35" s="62">
        <f t="shared" si="0"/>
        <v>8446.7364749999979</v>
      </c>
    </row>
    <row r="36" spans="1:7" ht="12.75" thickBot="1" x14ac:dyDescent="0.25">
      <c r="A36" s="9"/>
      <c r="B36" s="26"/>
      <c r="C36" s="26"/>
      <c r="D36" s="33"/>
      <c r="E36" s="33"/>
      <c r="F36" s="26"/>
      <c r="G36" s="68"/>
    </row>
    <row r="37" spans="1:7" x14ac:dyDescent="0.2">
      <c r="A37" s="47" t="s">
        <v>26</v>
      </c>
      <c r="B37" s="24"/>
      <c r="C37" s="24"/>
      <c r="D37" s="25">
        <f>février!D37</f>
        <v>225.3</v>
      </c>
      <c r="E37" s="26"/>
      <c r="F37" s="42">
        <f>février!G37</f>
        <v>450.6</v>
      </c>
      <c r="G37" s="63">
        <f t="shared" si="0"/>
        <v>675.90000000000009</v>
      </c>
    </row>
    <row r="38" spans="1:7" x14ac:dyDescent="0.2">
      <c r="A38" s="72" t="s">
        <v>44</v>
      </c>
      <c r="B38" s="26"/>
      <c r="C38" s="26"/>
      <c r="D38" s="28">
        <f>IF(D20&lt;1800,0,IF(D20&lt;=3000,81,IF(D20&gt;=3600,0,81/600*(3600-D20))))</f>
        <v>58.677750000000017</v>
      </c>
      <c r="E38" s="26"/>
      <c r="F38" s="43">
        <f>février!G38</f>
        <v>125.32550000000003</v>
      </c>
      <c r="G38" s="64">
        <f t="shared" si="0"/>
        <v>184.00325000000004</v>
      </c>
    </row>
    <row r="39" spans="1:7" x14ac:dyDescent="0.2">
      <c r="A39" s="27" t="s">
        <v>27</v>
      </c>
      <c r="B39" s="26"/>
      <c r="C39" s="26"/>
      <c r="D39" s="28">
        <f>IF(D20&lt;78,0,IF(D20&lt;936,((300+(D20*12-936)*0.029)/12),IF(D20&lt;3333.33,50,IF(D20&gt;6666.5,0,((600-(D20*12-40000)*0.015)/12)))))</f>
        <v>50</v>
      </c>
      <c r="E39" s="26"/>
      <c r="F39" s="43">
        <f>février!G39</f>
        <v>100</v>
      </c>
      <c r="G39" s="64">
        <f>F39+D39</f>
        <v>150</v>
      </c>
    </row>
    <row r="40" spans="1:7" ht="12.75" thickBot="1" x14ac:dyDescent="0.25">
      <c r="A40" s="29" t="s">
        <v>58</v>
      </c>
      <c r="B40" s="30"/>
      <c r="C40" s="30"/>
      <c r="D40" s="31">
        <f>IF(D20&lt;78,0,IF(D20&lt;3333.33,16,IF(D20&lt;6667,((16-(D20-3333.33)*0.0042)),0)))</f>
        <v>16</v>
      </c>
      <c r="E40" s="26"/>
      <c r="F40" s="46">
        <f>février!G40</f>
        <v>34</v>
      </c>
      <c r="G40" s="65">
        <f>F40+D40</f>
        <v>50</v>
      </c>
    </row>
    <row r="41" spans="1:7" ht="12.75" thickBot="1" x14ac:dyDescent="0.25">
      <c r="A41" s="11"/>
      <c r="B41" s="26"/>
      <c r="C41" s="26"/>
      <c r="D41" s="22"/>
      <c r="E41" s="22"/>
      <c r="F41" s="26"/>
      <c r="G41" s="68"/>
    </row>
    <row r="42" spans="1:7" ht="12.75" thickBot="1" x14ac:dyDescent="0.25">
      <c r="A42" s="100" t="s">
        <v>28</v>
      </c>
      <c r="B42" s="100"/>
      <c r="C42" s="100"/>
      <c r="D42" s="48">
        <f>D20-D27-D37+D38+D39+D40</f>
        <v>2679.6398949999993</v>
      </c>
      <c r="E42" s="26"/>
      <c r="F42" s="34">
        <f>février!G42</f>
        <v>5359.5138699999989</v>
      </c>
      <c r="G42" s="62">
        <f t="shared" si="0"/>
        <v>8039.1537649999982</v>
      </c>
    </row>
    <row r="43" spans="1:7" ht="12.75" thickBot="1" x14ac:dyDescent="0.25">
      <c r="A43" s="49"/>
      <c r="B43" s="49"/>
      <c r="C43" s="49"/>
      <c r="D43" s="26"/>
      <c r="E43" s="11"/>
      <c r="F43" s="11" t="s">
        <v>29</v>
      </c>
      <c r="G43" s="68"/>
    </row>
    <row r="44" spans="1:7" ht="12.75" thickBot="1" x14ac:dyDescent="0.25">
      <c r="A44" s="100" t="s">
        <v>60</v>
      </c>
      <c r="B44" s="100"/>
      <c r="C44" s="100"/>
      <c r="D44" s="48">
        <v>56</v>
      </c>
      <c r="E44" s="11"/>
      <c r="F44" s="69" t="s">
        <v>30</v>
      </c>
      <c r="G44" s="62">
        <f>D42-D44-D45</f>
        <v>1423.6398949999993</v>
      </c>
    </row>
    <row r="45" spans="1:7" ht="12.75" thickBot="1" x14ac:dyDescent="0.25">
      <c r="A45" s="98" t="s">
        <v>61</v>
      </c>
      <c r="B45" s="99"/>
      <c r="C45" s="99"/>
      <c r="D45" s="83">
        <v>1200</v>
      </c>
      <c r="E45" s="11"/>
      <c r="F45" s="9"/>
      <c r="G45" s="6"/>
    </row>
    <row r="46" spans="1:7" ht="12.75" thickBot="1" x14ac:dyDescent="0.25">
      <c r="A46" s="38"/>
      <c r="B46" s="38"/>
      <c r="C46" s="38"/>
      <c r="D46" s="38"/>
      <c r="E46" s="38"/>
      <c r="F46" s="38"/>
      <c r="G46" s="6"/>
    </row>
    <row r="47" spans="1:7" ht="12.75" thickBot="1" x14ac:dyDescent="0.25">
      <c r="A47" s="50" t="s">
        <v>31</v>
      </c>
      <c r="B47" s="11"/>
      <c r="C47" s="100" t="s">
        <v>32</v>
      </c>
      <c r="D47" s="101"/>
      <c r="E47" s="49"/>
      <c r="F47" s="88" t="s">
        <v>33</v>
      </c>
      <c r="G47" s="89"/>
    </row>
    <row r="48" spans="1:7" x14ac:dyDescent="0.2">
      <c r="A48" s="51" t="s">
        <v>55</v>
      </c>
      <c r="B48" s="8">
        <f>février!B48</f>
        <v>208</v>
      </c>
      <c r="C48" s="51" t="s">
        <v>34</v>
      </c>
      <c r="D48" s="52">
        <f>D49*D50</f>
        <v>3165.35</v>
      </c>
      <c r="E48" s="26"/>
      <c r="F48" s="53" t="s">
        <v>35</v>
      </c>
      <c r="G48" s="66" t="str">
        <f>février!G49</f>
        <v>D608388-2022</v>
      </c>
    </row>
    <row r="49" spans="1:7" x14ac:dyDescent="0.2">
      <c r="A49" s="82" t="s">
        <v>56</v>
      </c>
      <c r="B49" s="8">
        <f>février!B49</f>
        <v>-4</v>
      </c>
      <c r="C49" s="54" t="s">
        <v>37</v>
      </c>
      <c r="D49" s="55">
        <f>février!D50</f>
        <v>173</v>
      </c>
      <c r="E49" s="26"/>
      <c r="F49" s="56" t="s">
        <v>38</v>
      </c>
      <c r="G49" s="57">
        <f>février!G50</f>
        <v>1</v>
      </c>
    </row>
    <row r="50" spans="1:7" ht="12.75" thickBot="1" x14ac:dyDescent="0.25">
      <c r="A50" s="54" t="s">
        <v>36</v>
      </c>
      <c r="B50" s="8">
        <f>février!B50+B18</f>
        <v>16</v>
      </c>
      <c r="C50" s="58" t="s">
        <v>40</v>
      </c>
      <c r="D50" s="59">
        <f>février!D51</f>
        <v>18.296820809248555</v>
      </c>
      <c r="E50" s="26"/>
      <c r="F50" s="60" t="s">
        <v>41</v>
      </c>
      <c r="G50" s="74" t="str">
        <f>février!G51</f>
        <v>-</v>
      </c>
    </row>
    <row r="51" spans="1:7" ht="12.75" thickBot="1" x14ac:dyDescent="0.25">
      <c r="A51" s="58" t="s">
        <v>39</v>
      </c>
      <c r="B51" s="8">
        <f>(B49+B48)-B50</f>
        <v>188</v>
      </c>
      <c r="C51" s="9"/>
      <c r="D51" s="26"/>
      <c r="E51" s="26"/>
      <c r="F51" s="11"/>
      <c r="G51" s="6"/>
    </row>
    <row r="52" spans="1:7" x14ac:dyDescent="0.2">
      <c r="A52" s="90" t="s">
        <v>42</v>
      </c>
      <c r="B52" s="90"/>
      <c r="C52" s="90"/>
      <c r="D52" s="90"/>
      <c r="E52" s="11"/>
      <c r="F52" s="11"/>
      <c r="G52" s="6"/>
    </row>
    <row r="57" spans="1:7" ht="15" x14ac:dyDescent="0.25">
      <c r="B57"/>
    </row>
  </sheetData>
  <mergeCells count="17">
    <mergeCell ref="F10:G10"/>
    <mergeCell ref="A2:G2"/>
    <mergeCell ref="F5:G5"/>
    <mergeCell ref="F6:G6"/>
    <mergeCell ref="F7:G7"/>
    <mergeCell ref="F9:G9"/>
    <mergeCell ref="F47:G47"/>
    <mergeCell ref="A52:D52"/>
    <mergeCell ref="F11:G11"/>
    <mergeCell ref="A12:D12"/>
    <mergeCell ref="A20:C20"/>
    <mergeCell ref="A27:C27"/>
    <mergeCell ref="A35:C35"/>
    <mergeCell ref="A42:C42"/>
    <mergeCell ref="C47:D47"/>
    <mergeCell ref="A44:C44"/>
    <mergeCell ref="A45:C45"/>
  </mergeCells>
  <pageMargins left="0.7" right="0.7" top="0.75" bottom="0.75" header="0.3" footer="0.3"/>
  <pageSetup paperSize="9" orientation="portrait" r:id="rId1"/>
  <headerFooter>
    <oddFooter>&amp;LGroupe Advensys Luxembourg SA
contact@advensys-conseil.lu&amp;C
Grand rue 34
L-9710 Clervaux&amp;R+352 28 79 76 26       
+352 661 11 22 60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3E9FA-5DD6-48A3-B339-7C9C85203C50}">
  <sheetPr codeName="Feuil4"/>
  <dimension ref="A1:H59"/>
  <sheetViews>
    <sheetView topLeftCell="A22" zoomScaleNormal="100" workbookViewId="0">
      <selection activeCell="D38" sqref="D38"/>
    </sheetView>
  </sheetViews>
  <sheetFormatPr baseColWidth="10" defaultColWidth="11.42578125" defaultRowHeight="12" x14ac:dyDescent="0.2"/>
  <cols>
    <col min="1" max="1" width="20.140625" style="1" bestFit="1" customWidth="1"/>
    <col min="2" max="2" width="10.42578125" style="1" customWidth="1"/>
    <col min="3" max="3" width="15" style="1" customWidth="1"/>
    <col min="4" max="4" width="8.7109375" style="1" customWidth="1"/>
    <col min="5" max="5" width="5" style="1" customWidth="1"/>
    <col min="6" max="6" width="13.85546875" style="1" customWidth="1"/>
    <col min="7" max="7" width="14.28515625" style="1" customWidth="1"/>
    <col min="8" max="16384" width="11.42578125" style="1"/>
  </cols>
  <sheetData>
    <row r="1" spans="1:8" ht="12.75" thickBot="1" x14ac:dyDescent="0.25"/>
    <row r="2" spans="1:8" ht="15.75" thickBot="1" x14ac:dyDescent="0.3">
      <c r="A2" s="85" t="s">
        <v>45</v>
      </c>
      <c r="B2" s="86"/>
      <c r="C2" s="86"/>
      <c r="D2" s="86"/>
      <c r="E2" s="86"/>
      <c r="F2" s="86"/>
      <c r="G2" s="87"/>
      <c r="H2" s="2"/>
    </row>
    <row r="4" spans="1:8" ht="12.75" thickBot="1" x14ac:dyDescent="0.25"/>
    <row r="5" spans="1:8" x14ac:dyDescent="0.2">
      <c r="A5" s="3" t="s">
        <v>0</v>
      </c>
      <c r="B5" s="61">
        <f>mars!B5</f>
        <v>2</v>
      </c>
      <c r="C5" s="4"/>
      <c r="D5" s="5"/>
      <c r="E5" s="6"/>
      <c r="F5" s="91" t="str">
        <f>mars!F5</f>
        <v>Groupe Advensys Luxembourg S.A</v>
      </c>
      <c r="G5" s="92"/>
    </row>
    <row r="6" spans="1:8" x14ac:dyDescent="0.2">
      <c r="A6" s="7" t="s">
        <v>1</v>
      </c>
      <c r="B6" s="67">
        <f>mars!B6</f>
        <v>21</v>
      </c>
      <c r="C6" s="9"/>
      <c r="D6" s="10"/>
      <c r="E6" s="6"/>
      <c r="F6" s="93" t="str">
        <f>mars!F6</f>
        <v>Duarrefstrooss 49</v>
      </c>
      <c r="G6" s="94"/>
    </row>
    <row r="7" spans="1:8" ht="12.75" thickBot="1" x14ac:dyDescent="0.25">
      <c r="A7" s="7" t="s">
        <v>2</v>
      </c>
      <c r="B7" s="67" t="str">
        <f>mars!B7</f>
        <v xml:space="preserve">Comptable </v>
      </c>
      <c r="C7" s="9"/>
      <c r="D7" s="10"/>
      <c r="E7" s="6"/>
      <c r="F7" s="95" t="str">
        <f>mars!F7</f>
        <v>L-9964 Huldange</v>
      </c>
      <c r="G7" s="96"/>
    </row>
    <row r="8" spans="1:8" ht="12.75" thickBot="1" x14ac:dyDescent="0.25">
      <c r="A8" s="7" t="s">
        <v>3</v>
      </c>
      <c r="B8" s="73">
        <f>mars!B8</f>
        <v>44455</v>
      </c>
      <c r="C8" s="9"/>
      <c r="D8" s="10"/>
      <c r="E8" s="6"/>
      <c r="F8" s="67"/>
      <c r="G8" s="12"/>
    </row>
    <row r="9" spans="1:8" x14ac:dyDescent="0.2">
      <c r="A9" s="7" t="s">
        <v>4</v>
      </c>
      <c r="B9" s="67" t="str">
        <f>mars!B9</f>
        <v>1996 0905 124 86</v>
      </c>
      <c r="C9" s="9"/>
      <c r="D9" s="10"/>
      <c r="E9" s="6"/>
      <c r="F9" s="91" t="str">
        <f>mars!F9</f>
        <v>BERTHE Alexandra</v>
      </c>
      <c r="G9" s="92"/>
    </row>
    <row r="10" spans="1:8" x14ac:dyDescent="0.2">
      <c r="A10" s="7" t="s">
        <v>5</v>
      </c>
      <c r="B10" s="67">
        <f>mars!B10</f>
        <v>20152206748</v>
      </c>
      <c r="C10" s="9"/>
      <c r="D10" s="10"/>
      <c r="E10" s="6"/>
      <c r="F10" s="93" t="str">
        <f>mars!F10</f>
        <v>93, Duarrefstrooss</v>
      </c>
      <c r="G10" s="94"/>
    </row>
    <row r="11" spans="1:8" ht="12.75" thickBot="1" x14ac:dyDescent="0.25">
      <c r="A11" s="13" t="s">
        <v>6</v>
      </c>
      <c r="B11" s="14" t="s">
        <v>50</v>
      </c>
      <c r="C11" s="15"/>
      <c r="D11" s="16"/>
      <c r="E11" s="6"/>
      <c r="F11" s="95" t="str">
        <f>mars!F11</f>
        <v>L-9964 Huldange</v>
      </c>
      <c r="G11" s="96"/>
    </row>
    <row r="12" spans="1:8" x14ac:dyDescent="0.2">
      <c r="A12" s="97" t="s">
        <v>7</v>
      </c>
      <c r="B12" s="97"/>
      <c r="C12" s="97"/>
      <c r="D12" s="97"/>
      <c r="E12" s="6"/>
      <c r="F12" s="6"/>
      <c r="G12" s="6"/>
    </row>
    <row r="13" spans="1:8" ht="12.75" thickBot="1" x14ac:dyDescent="0.25">
      <c r="A13" s="6"/>
      <c r="B13" s="6"/>
      <c r="C13" s="6"/>
      <c r="D13" s="6"/>
      <c r="E13" s="6"/>
      <c r="F13" s="6"/>
      <c r="G13" s="6"/>
    </row>
    <row r="14" spans="1:8" ht="23.25" thickBot="1" x14ac:dyDescent="0.25">
      <c r="A14" s="21" t="s">
        <v>8</v>
      </c>
      <c r="B14" s="17" t="s">
        <v>46</v>
      </c>
      <c r="C14" s="18" t="s">
        <v>9</v>
      </c>
      <c r="D14" s="19" t="s">
        <v>10</v>
      </c>
      <c r="E14" s="20"/>
      <c r="F14" s="21" t="s">
        <v>11</v>
      </c>
      <c r="G14" s="70" t="s">
        <v>10</v>
      </c>
    </row>
    <row r="15" spans="1:8" ht="12.75" thickBot="1" x14ac:dyDescent="0.25">
      <c r="A15" s="11"/>
      <c r="B15" s="22"/>
      <c r="C15" s="22"/>
      <c r="D15" s="22"/>
      <c r="E15" s="22"/>
      <c r="F15" s="22"/>
      <c r="G15" s="6"/>
    </row>
    <row r="16" spans="1:8" x14ac:dyDescent="0.2">
      <c r="A16" s="23" t="s">
        <v>12</v>
      </c>
      <c r="B16" s="24">
        <f>D51</f>
        <v>173</v>
      </c>
      <c r="C16" s="24">
        <f>D52</f>
        <v>18.296820809248555</v>
      </c>
      <c r="D16" s="25">
        <f>D50</f>
        <v>3165.35</v>
      </c>
      <c r="E16" s="26"/>
      <c r="F16" s="26"/>
      <c r="G16" s="6"/>
    </row>
    <row r="17" spans="1:7" x14ac:dyDescent="0.2">
      <c r="A17" s="27" t="s">
        <v>43</v>
      </c>
      <c r="B17" s="26">
        <v>8</v>
      </c>
      <c r="C17" s="26">
        <v>0</v>
      </c>
      <c r="D17" s="28">
        <v>0</v>
      </c>
      <c r="E17" s="26"/>
      <c r="F17" s="26"/>
      <c r="G17" s="6"/>
    </row>
    <row r="18" spans="1:7" x14ac:dyDescent="0.2">
      <c r="A18" s="27" t="s">
        <v>31</v>
      </c>
      <c r="B18" s="26">
        <v>9</v>
      </c>
      <c r="C18" s="26"/>
      <c r="D18" s="28"/>
      <c r="E18" s="26"/>
      <c r="F18" s="26"/>
      <c r="G18" s="6"/>
    </row>
    <row r="19" spans="1:7" ht="12.75" thickBot="1" x14ac:dyDescent="0.25">
      <c r="A19" s="29" t="s">
        <v>48</v>
      </c>
      <c r="B19" s="30">
        <v>0</v>
      </c>
      <c r="C19" s="30"/>
      <c r="D19" s="31"/>
      <c r="E19" s="26"/>
      <c r="F19" s="26"/>
      <c r="G19" s="6"/>
    </row>
    <row r="20" spans="1:7" ht="12.75" thickBot="1" x14ac:dyDescent="0.25">
      <c r="A20" s="102" t="s">
        <v>13</v>
      </c>
      <c r="B20" s="102"/>
      <c r="C20" s="102"/>
      <c r="D20" s="32">
        <f>D16</f>
        <v>3165.35</v>
      </c>
      <c r="E20" s="33"/>
      <c r="F20" s="42">
        <f>mars!G20</f>
        <v>9496.0499999999993</v>
      </c>
      <c r="G20" s="62">
        <f>F20+D20</f>
        <v>12661.4</v>
      </c>
    </row>
    <row r="21" spans="1:7" ht="12.75" thickBot="1" x14ac:dyDescent="0.25">
      <c r="A21" s="9"/>
      <c r="B21" s="26"/>
      <c r="C21" s="26"/>
      <c r="D21" s="33"/>
      <c r="E21" s="33"/>
      <c r="F21" s="24"/>
      <c r="G21" s="68"/>
    </row>
    <row r="22" spans="1:7" ht="12.75" thickBot="1" x14ac:dyDescent="0.25">
      <c r="A22" s="35" t="s">
        <v>14</v>
      </c>
      <c r="B22" s="36"/>
      <c r="C22" s="36"/>
      <c r="D22" s="37"/>
      <c r="E22" s="9"/>
      <c r="F22" s="26"/>
      <c r="G22" s="68"/>
    </row>
    <row r="23" spans="1:7" x14ac:dyDescent="0.2">
      <c r="A23" s="39" t="s">
        <v>15</v>
      </c>
      <c r="B23" s="40">
        <f>mars!B23</f>
        <v>2.8000000000000001E-2</v>
      </c>
      <c r="C23" s="26"/>
      <c r="D23" s="41">
        <f>D20*B23</f>
        <v>88.629800000000003</v>
      </c>
      <c r="E23" s="26"/>
      <c r="F23" s="42">
        <f>mars!G23</f>
        <v>265.88940000000002</v>
      </c>
      <c r="G23" s="63">
        <f>F23+D23</f>
        <v>354.51920000000001</v>
      </c>
    </row>
    <row r="24" spans="1:7" x14ac:dyDescent="0.2">
      <c r="A24" s="39" t="s">
        <v>16</v>
      </c>
      <c r="B24" s="40">
        <f>mars!B24</f>
        <v>2.5000000000000001E-3</v>
      </c>
      <c r="C24" s="26"/>
      <c r="D24" s="41">
        <f>B24*D20</f>
        <v>7.9133750000000003</v>
      </c>
      <c r="E24" s="26"/>
      <c r="F24" s="43">
        <f>mars!G24</f>
        <v>23.740124999999999</v>
      </c>
      <c r="G24" s="64">
        <f t="shared" ref="G24:G42" si="0">F24+D24</f>
        <v>31.653500000000001</v>
      </c>
    </row>
    <row r="25" spans="1:7" x14ac:dyDescent="0.2">
      <c r="A25" s="39" t="s">
        <v>17</v>
      </c>
      <c r="B25" s="40">
        <f>mars!B25</f>
        <v>0.08</v>
      </c>
      <c r="C25" s="26"/>
      <c r="D25" s="41">
        <f>B25*D20</f>
        <v>253.22800000000001</v>
      </c>
      <c r="E25" s="26"/>
      <c r="F25" s="43">
        <f>mars!G25</f>
        <v>759.68399999999997</v>
      </c>
      <c r="G25" s="64">
        <f t="shared" si="0"/>
        <v>1012.912</v>
      </c>
    </row>
    <row r="26" spans="1:7" ht="12.75" thickBot="1" x14ac:dyDescent="0.25">
      <c r="A26" s="39" t="s">
        <v>18</v>
      </c>
      <c r="B26" s="40">
        <f>mars!B26</f>
        <v>1.4E-2</v>
      </c>
      <c r="C26" s="26"/>
      <c r="D26" s="41">
        <f>B26*(D20-642.73)</f>
        <v>35.316679999999998</v>
      </c>
      <c r="E26" s="26"/>
      <c r="F26" s="46">
        <f>mars!G26</f>
        <v>105.71596</v>
      </c>
      <c r="G26" s="64">
        <f t="shared" si="0"/>
        <v>141.03263999999999</v>
      </c>
    </row>
    <row r="27" spans="1:7" ht="12.75" thickBot="1" x14ac:dyDescent="0.25">
      <c r="A27" s="100" t="s">
        <v>19</v>
      </c>
      <c r="B27" s="100"/>
      <c r="C27" s="100"/>
      <c r="D27" s="44">
        <f>SUM(D23:D26)</f>
        <v>385.08785500000005</v>
      </c>
      <c r="E27" s="33"/>
      <c r="F27" s="34">
        <f>mars!G27</f>
        <v>1155.029485</v>
      </c>
      <c r="G27" s="62">
        <f t="shared" si="0"/>
        <v>1540.11734</v>
      </c>
    </row>
    <row r="28" spans="1:7" ht="12.75" thickBot="1" x14ac:dyDescent="0.25">
      <c r="A28" s="9"/>
      <c r="B28" s="40"/>
      <c r="C28" s="26"/>
      <c r="D28" s="33"/>
      <c r="E28" s="33"/>
      <c r="F28" s="26"/>
      <c r="G28" s="68"/>
    </row>
    <row r="29" spans="1:7" ht="12.75" thickBot="1" x14ac:dyDescent="0.25">
      <c r="A29" s="23" t="s">
        <v>20</v>
      </c>
      <c r="B29" s="24"/>
      <c r="C29" s="24"/>
      <c r="D29" s="45"/>
      <c r="E29" s="33"/>
      <c r="F29" s="26"/>
      <c r="G29" s="68"/>
    </row>
    <row r="30" spans="1:7" x14ac:dyDescent="0.2">
      <c r="A30" s="27" t="s">
        <v>21</v>
      </c>
      <c r="B30" s="26"/>
      <c r="C30" s="26"/>
      <c r="D30" s="28">
        <f>mars!D30</f>
        <v>0</v>
      </c>
      <c r="E30" s="26"/>
      <c r="F30" s="42">
        <f>mars!G30</f>
        <v>0</v>
      </c>
      <c r="G30" s="63">
        <f>F30+D30</f>
        <v>0</v>
      </c>
    </row>
    <row r="31" spans="1:7" x14ac:dyDescent="0.2">
      <c r="A31" s="27" t="s">
        <v>22</v>
      </c>
      <c r="B31" s="26"/>
      <c r="C31" s="26"/>
      <c r="D31" s="28">
        <f>mars!D31</f>
        <v>0</v>
      </c>
      <c r="E31" s="26"/>
      <c r="F31" s="43">
        <f>mars!G31</f>
        <v>0</v>
      </c>
      <c r="G31" s="64">
        <f t="shared" si="0"/>
        <v>0</v>
      </c>
    </row>
    <row r="32" spans="1:7" x14ac:dyDescent="0.2">
      <c r="A32" s="27" t="s">
        <v>23</v>
      </c>
      <c r="B32" s="26"/>
      <c r="C32" s="26"/>
      <c r="D32" s="28">
        <f>mars!D32</f>
        <v>0</v>
      </c>
      <c r="E32" s="26"/>
      <c r="F32" s="43">
        <f>mars!G32</f>
        <v>0</v>
      </c>
      <c r="G32" s="64">
        <f t="shared" si="0"/>
        <v>0</v>
      </c>
    </row>
    <row r="33" spans="1:7" ht="12.75" thickBot="1" x14ac:dyDescent="0.25">
      <c r="A33" s="29" t="s">
        <v>24</v>
      </c>
      <c r="B33" s="30"/>
      <c r="C33" s="30"/>
      <c r="D33" s="31">
        <f>mars!D33</f>
        <v>0</v>
      </c>
      <c r="E33" s="26"/>
      <c r="F33" s="46">
        <f>mars!G33</f>
        <v>0</v>
      </c>
      <c r="G33" s="65">
        <f t="shared" si="0"/>
        <v>0</v>
      </c>
    </row>
    <row r="34" spans="1:7" ht="12.75" thickBot="1" x14ac:dyDescent="0.25">
      <c r="A34" s="11"/>
      <c r="B34" s="26"/>
      <c r="C34" s="26"/>
      <c r="D34" s="26"/>
      <c r="E34" s="26"/>
      <c r="F34" s="26"/>
      <c r="G34" s="68"/>
    </row>
    <row r="35" spans="1:7" ht="12.75" thickBot="1" x14ac:dyDescent="0.25">
      <c r="A35" s="100" t="s">
        <v>25</v>
      </c>
      <c r="B35" s="100"/>
      <c r="C35" s="100"/>
      <c r="D35" s="44">
        <f>D20-D23-D24-D25-D30-D31-D32-D33</f>
        <v>2815.5788249999996</v>
      </c>
      <c r="E35" s="33"/>
      <c r="F35" s="34">
        <f>mars!G35</f>
        <v>8446.7364749999979</v>
      </c>
      <c r="G35" s="62">
        <f t="shared" si="0"/>
        <v>11262.315299999998</v>
      </c>
    </row>
    <row r="36" spans="1:7" ht="12.75" thickBot="1" x14ac:dyDescent="0.25">
      <c r="A36" s="9"/>
      <c r="B36" s="26"/>
      <c r="C36" s="26"/>
      <c r="D36" s="33"/>
      <c r="E36" s="33"/>
      <c r="F36" s="26"/>
      <c r="G36" s="68"/>
    </row>
    <row r="37" spans="1:7" x14ac:dyDescent="0.2">
      <c r="A37" s="47" t="s">
        <v>26</v>
      </c>
      <c r="B37" s="24"/>
      <c r="C37" s="24"/>
      <c r="D37" s="25">
        <f>février!D37</f>
        <v>225.3</v>
      </c>
      <c r="E37" s="26"/>
      <c r="F37" s="42">
        <f>mars!G37</f>
        <v>675.90000000000009</v>
      </c>
      <c r="G37" s="63">
        <f t="shared" si="0"/>
        <v>901.2</v>
      </c>
    </row>
    <row r="38" spans="1:7" x14ac:dyDescent="0.2">
      <c r="A38" s="72" t="s">
        <v>44</v>
      </c>
      <c r="B38" s="26"/>
      <c r="C38" s="26"/>
      <c r="D38" s="28">
        <f>IF(D20&lt;1800,0,IF(D20&lt;=3000,81,IF(D20&gt;=3600,0,81/600*(3600-D20))))</f>
        <v>58.677750000000017</v>
      </c>
      <c r="E38" s="26"/>
      <c r="F38" s="43">
        <f>mars!G38</f>
        <v>184.00325000000004</v>
      </c>
      <c r="G38" s="64">
        <f t="shared" si="0"/>
        <v>242.68100000000004</v>
      </c>
    </row>
    <row r="39" spans="1:7" x14ac:dyDescent="0.2">
      <c r="A39" s="27" t="s">
        <v>27</v>
      </c>
      <c r="B39" s="26"/>
      <c r="C39" s="26"/>
      <c r="D39" s="28">
        <f>IF(D20&lt;78,0,IF(D20&lt;936,((300+(D20*12-936)*0.029)/12),IF(D20&lt;3333.33,50,IF(D20&gt;6666.5,0,((600-(D20*12-40000)*0.015)/12)))))</f>
        <v>50</v>
      </c>
      <c r="E39" s="26"/>
      <c r="F39" s="43">
        <f>mars!G39</f>
        <v>150</v>
      </c>
      <c r="G39" s="64">
        <f t="shared" si="0"/>
        <v>200</v>
      </c>
    </row>
    <row r="40" spans="1:7" ht="12.75" thickBot="1" x14ac:dyDescent="0.25">
      <c r="A40" s="29" t="s">
        <v>58</v>
      </c>
      <c r="B40" s="30"/>
      <c r="C40" s="30"/>
      <c r="D40" s="31">
        <f>IF(D20&lt;78,0,IF(D20&lt;3333.33,16,IF(D20&lt;6667,((16-(D20-3333.33)*0.0042)),0)))</f>
        <v>16</v>
      </c>
      <c r="E40" s="81"/>
      <c r="F40" s="46">
        <f>mars!G40</f>
        <v>50</v>
      </c>
      <c r="G40" s="65">
        <f t="shared" ref="G40" si="1">F40+D40</f>
        <v>66</v>
      </c>
    </row>
    <row r="41" spans="1:7" ht="12.75" thickBot="1" x14ac:dyDescent="0.25">
      <c r="A41" s="11"/>
      <c r="B41" s="26"/>
      <c r="C41" s="26"/>
      <c r="D41" s="22"/>
      <c r="E41" s="22"/>
      <c r="F41" s="26"/>
      <c r="G41" s="68"/>
    </row>
    <row r="42" spans="1:7" ht="12.75" thickBot="1" x14ac:dyDescent="0.25">
      <c r="A42" s="100" t="s">
        <v>28</v>
      </c>
      <c r="B42" s="100"/>
      <c r="C42" s="100"/>
      <c r="D42" s="48">
        <f>D20-D27-D37+D38+D39+D40</f>
        <v>2679.6398949999993</v>
      </c>
      <c r="E42" s="26"/>
      <c r="F42" s="34">
        <f>mars!G42</f>
        <v>8039.1537649999982</v>
      </c>
      <c r="G42" s="62">
        <f t="shared" si="0"/>
        <v>10718.793659999998</v>
      </c>
    </row>
    <row r="43" spans="1:7" ht="12.75" thickBot="1" x14ac:dyDescent="0.25">
      <c r="A43" s="100" t="s">
        <v>60</v>
      </c>
      <c r="B43" s="100"/>
      <c r="C43" s="100"/>
      <c r="D43" s="48">
        <v>56</v>
      </c>
      <c r="E43" s="11"/>
      <c r="F43" s="11" t="s">
        <v>29</v>
      </c>
      <c r="G43" s="68"/>
    </row>
    <row r="44" spans="1:7" ht="12.75" thickBot="1" x14ac:dyDescent="0.25">
      <c r="A44" s="98" t="s">
        <v>61</v>
      </c>
      <c r="B44" s="99"/>
      <c r="C44" s="99"/>
      <c r="D44" s="83">
        <v>1200</v>
      </c>
      <c r="E44" s="11"/>
      <c r="F44" s="69" t="s">
        <v>30</v>
      </c>
      <c r="G44" s="62">
        <f>D42-D43-D44-D45+D46</f>
        <v>1408.5798949999994</v>
      </c>
    </row>
    <row r="45" spans="1:7" ht="12.75" thickBot="1" x14ac:dyDescent="0.25">
      <c r="A45" s="100" t="s">
        <v>64</v>
      </c>
      <c r="B45" s="100"/>
      <c r="C45" s="100"/>
      <c r="D45" s="48">
        <v>35</v>
      </c>
      <c r="E45" s="11"/>
      <c r="F45" s="9"/>
      <c r="G45" s="68"/>
    </row>
    <row r="46" spans="1:7" ht="12.75" thickBot="1" x14ac:dyDescent="0.25">
      <c r="A46" s="100" t="s">
        <v>65</v>
      </c>
      <c r="B46" s="100"/>
      <c r="C46" s="100"/>
      <c r="D46" s="48">
        <f>9.97*2</f>
        <v>19.940000000000001</v>
      </c>
      <c r="E46" s="11"/>
      <c r="F46" s="9"/>
      <c r="G46" s="68"/>
    </row>
    <row r="47" spans="1:7" ht="12.75" thickBot="1" x14ac:dyDescent="0.25">
      <c r="A47" s="11"/>
      <c r="B47" s="11"/>
      <c r="C47" s="11"/>
      <c r="D47" s="11"/>
      <c r="E47" s="11"/>
      <c r="F47" s="9"/>
      <c r="G47" s="6"/>
    </row>
    <row r="48" spans="1:7" ht="12.75" thickBot="1" x14ac:dyDescent="0.25">
      <c r="A48" s="50" t="s">
        <v>31</v>
      </c>
      <c r="B48" s="11"/>
      <c r="C48" s="38"/>
      <c r="D48" s="38"/>
      <c r="E48" s="38"/>
      <c r="F48" s="38"/>
      <c r="G48" s="6"/>
    </row>
    <row r="49" spans="1:7" ht="12.75" thickBot="1" x14ac:dyDescent="0.25">
      <c r="A49" s="51" t="s">
        <v>55</v>
      </c>
      <c r="B49" s="8">
        <f>mars!B48</f>
        <v>208</v>
      </c>
      <c r="C49" s="100" t="s">
        <v>32</v>
      </c>
      <c r="D49" s="101"/>
      <c r="E49" s="49"/>
      <c r="F49" s="88" t="s">
        <v>33</v>
      </c>
      <c r="G49" s="89"/>
    </row>
    <row r="50" spans="1:7" x14ac:dyDescent="0.2">
      <c r="A50" s="82" t="s">
        <v>56</v>
      </c>
      <c r="B50" s="8">
        <f>mars!B49</f>
        <v>-4</v>
      </c>
      <c r="C50" s="51" t="s">
        <v>34</v>
      </c>
      <c r="D50" s="52">
        <f>D51*D52</f>
        <v>3165.35</v>
      </c>
      <c r="E50" s="26"/>
      <c r="F50" s="53" t="s">
        <v>35</v>
      </c>
      <c r="G50" s="66" t="str">
        <f>mars!G48</f>
        <v>D608388-2022</v>
      </c>
    </row>
    <row r="51" spans="1:7" x14ac:dyDescent="0.2">
      <c r="A51" s="54" t="s">
        <v>36</v>
      </c>
      <c r="B51" s="8">
        <f>mars!B50+B18</f>
        <v>25</v>
      </c>
      <c r="C51" s="54" t="s">
        <v>37</v>
      </c>
      <c r="D51" s="55">
        <f>mars!D49</f>
        <v>173</v>
      </c>
      <c r="E51" s="26"/>
      <c r="F51" s="56" t="s">
        <v>38</v>
      </c>
      <c r="G51" s="57">
        <f>mars!G49</f>
        <v>1</v>
      </c>
    </row>
    <row r="52" spans="1:7" ht="12.75" thickBot="1" x14ac:dyDescent="0.25">
      <c r="A52" s="58" t="s">
        <v>39</v>
      </c>
      <c r="B52" s="8">
        <f>(B50+B49)-B51</f>
        <v>179</v>
      </c>
      <c r="C52" s="58" t="s">
        <v>40</v>
      </c>
      <c r="D52" s="59">
        <f>mars!D50</f>
        <v>18.296820809248555</v>
      </c>
      <c r="E52" s="26"/>
      <c r="F52" s="60" t="s">
        <v>41</v>
      </c>
      <c r="G52" s="74" t="str">
        <f>mars!G50</f>
        <v>-</v>
      </c>
    </row>
    <row r="53" spans="1:7" x14ac:dyDescent="0.2">
      <c r="A53" s="9"/>
      <c r="B53" s="8"/>
      <c r="C53" s="9"/>
      <c r="D53" s="26"/>
      <c r="E53" s="26"/>
      <c r="F53" s="11"/>
      <c r="G53" s="6"/>
    </row>
    <row r="54" spans="1:7" x14ac:dyDescent="0.2">
      <c r="A54" s="90" t="s">
        <v>42</v>
      </c>
      <c r="B54" s="90"/>
      <c r="C54" s="90"/>
      <c r="D54" s="90"/>
      <c r="E54" s="11"/>
      <c r="F54" s="11"/>
      <c r="G54" s="6"/>
    </row>
    <row r="58" spans="1:7" x14ac:dyDescent="0.2">
      <c r="D58" s="1">
        <f>18.3*2.5/100</f>
        <v>0.45750000000000002</v>
      </c>
    </row>
    <row r="59" spans="1:7" ht="15" x14ac:dyDescent="0.25">
      <c r="B59"/>
      <c r="D59" s="84">
        <f>D52+D58</f>
        <v>18.754320809248554</v>
      </c>
    </row>
  </sheetData>
  <mergeCells count="19">
    <mergeCell ref="F10:G10"/>
    <mergeCell ref="A2:G2"/>
    <mergeCell ref="F5:G5"/>
    <mergeCell ref="F6:G6"/>
    <mergeCell ref="F7:G7"/>
    <mergeCell ref="F9:G9"/>
    <mergeCell ref="F49:G49"/>
    <mergeCell ref="A54:D54"/>
    <mergeCell ref="F11:G11"/>
    <mergeCell ref="A12:D12"/>
    <mergeCell ref="A20:C20"/>
    <mergeCell ref="A27:C27"/>
    <mergeCell ref="A35:C35"/>
    <mergeCell ref="A42:C42"/>
    <mergeCell ref="C49:D49"/>
    <mergeCell ref="A43:C43"/>
    <mergeCell ref="A44:C44"/>
    <mergeCell ref="A45:C45"/>
    <mergeCell ref="A46:C46"/>
  </mergeCells>
  <pageMargins left="0.7" right="0.7" top="0.75" bottom="0.75" header="0.3" footer="0.3"/>
  <pageSetup paperSize="9" orientation="portrait" r:id="rId1"/>
  <headerFooter>
    <oddFooter>&amp;LGroupe Advensys Luxembourg S.A
contact@advensys-conseil.lu&amp;C
Grand rue 34
L-9710 Clervaux&amp;R+352 28 79 76 26       
+352 661 11 22 60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52A9E-10FE-42B7-862E-7551020B83B5}">
  <sheetPr codeName="Feuil5"/>
  <dimension ref="A1:H57"/>
  <sheetViews>
    <sheetView topLeftCell="A19" zoomScaleNormal="100" workbookViewId="0">
      <selection activeCell="D56" sqref="D56"/>
    </sheetView>
  </sheetViews>
  <sheetFormatPr baseColWidth="10" defaultColWidth="11.42578125" defaultRowHeight="12" x14ac:dyDescent="0.2"/>
  <cols>
    <col min="1" max="1" width="20.140625" style="1" bestFit="1" customWidth="1"/>
    <col min="2" max="2" width="10.42578125" style="1" customWidth="1"/>
    <col min="3" max="3" width="15" style="1" customWidth="1"/>
    <col min="4" max="4" width="8.7109375" style="1" customWidth="1"/>
    <col min="5" max="5" width="5" style="1" customWidth="1"/>
    <col min="6" max="6" width="13.85546875" style="1" customWidth="1"/>
    <col min="7" max="7" width="14.28515625" style="1" customWidth="1"/>
    <col min="8" max="16384" width="11.42578125" style="1"/>
  </cols>
  <sheetData>
    <row r="1" spans="1:8" ht="12.75" thickBot="1" x14ac:dyDescent="0.25"/>
    <row r="2" spans="1:8" ht="15.75" thickBot="1" x14ac:dyDescent="0.3">
      <c r="A2" s="85" t="s">
        <v>45</v>
      </c>
      <c r="B2" s="86"/>
      <c r="C2" s="86"/>
      <c r="D2" s="86"/>
      <c r="E2" s="86"/>
      <c r="F2" s="86"/>
      <c r="G2" s="87"/>
      <c r="H2" s="2"/>
    </row>
    <row r="4" spans="1:8" ht="12.75" thickBot="1" x14ac:dyDescent="0.25"/>
    <row r="5" spans="1:8" x14ac:dyDescent="0.2">
      <c r="A5" s="3" t="s">
        <v>0</v>
      </c>
      <c r="B5" s="61">
        <f>Avril!B5</f>
        <v>2</v>
      </c>
      <c r="C5" s="4"/>
      <c r="D5" s="5"/>
      <c r="E5" s="6"/>
      <c r="F5" s="91" t="str">
        <f>Avril!F5</f>
        <v>Groupe Advensys Luxembourg S.A</v>
      </c>
      <c r="G5" s="92"/>
    </row>
    <row r="6" spans="1:8" x14ac:dyDescent="0.2">
      <c r="A6" s="7" t="s">
        <v>1</v>
      </c>
      <c r="B6" s="67" t="s">
        <v>66</v>
      </c>
      <c r="C6" s="9"/>
      <c r="D6" s="10"/>
      <c r="E6" s="6"/>
      <c r="F6" s="93" t="str">
        <f>Avril!F6</f>
        <v>Duarrefstrooss 49</v>
      </c>
      <c r="G6" s="94"/>
    </row>
    <row r="7" spans="1:8" ht="12.75" thickBot="1" x14ac:dyDescent="0.25">
      <c r="A7" s="7" t="s">
        <v>2</v>
      </c>
      <c r="B7" s="67" t="str">
        <f>Avril!B7</f>
        <v xml:space="preserve">Comptable </v>
      </c>
      <c r="C7" s="9"/>
      <c r="D7" s="10"/>
      <c r="E7" s="6"/>
      <c r="F7" s="95" t="str">
        <f>Avril!F7</f>
        <v>L-9964 Huldange</v>
      </c>
      <c r="G7" s="96"/>
    </row>
    <row r="8" spans="1:8" ht="12.75" thickBot="1" x14ac:dyDescent="0.25">
      <c r="A8" s="7" t="s">
        <v>3</v>
      </c>
      <c r="B8" s="73">
        <f>Avril!B8</f>
        <v>44455</v>
      </c>
      <c r="C8" s="9"/>
      <c r="D8" s="10"/>
      <c r="E8" s="6"/>
      <c r="F8" s="67"/>
      <c r="G8" s="12"/>
    </row>
    <row r="9" spans="1:8" x14ac:dyDescent="0.2">
      <c r="A9" s="7" t="s">
        <v>4</v>
      </c>
      <c r="B9" s="67" t="str">
        <f>Avril!B9</f>
        <v>1996 0905 124 86</v>
      </c>
      <c r="C9" s="9"/>
      <c r="D9" s="10"/>
      <c r="E9" s="6"/>
      <c r="F9" s="91" t="str">
        <f>Avril!F9</f>
        <v>BERTHE Alexandra</v>
      </c>
      <c r="G9" s="92"/>
    </row>
    <row r="10" spans="1:8" x14ac:dyDescent="0.2">
      <c r="A10" s="7" t="s">
        <v>5</v>
      </c>
      <c r="B10" s="67">
        <f>Avril!B10</f>
        <v>20152206748</v>
      </c>
      <c r="C10" s="9"/>
      <c r="D10" s="10"/>
      <c r="E10" s="6"/>
      <c r="F10" s="93" t="str">
        <f>Avril!F10</f>
        <v>93, Duarrefstrooss</v>
      </c>
      <c r="G10" s="94"/>
    </row>
    <row r="11" spans="1:8" ht="12.75" thickBot="1" x14ac:dyDescent="0.25">
      <c r="A11" s="13" t="s">
        <v>6</v>
      </c>
      <c r="B11" s="14" t="s">
        <v>51</v>
      </c>
      <c r="C11" s="15"/>
      <c r="D11" s="16"/>
      <c r="E11" s="6"/>
      <c r="F11" s="95" t="str">
        <f>Avril!F11</f>
        <v>L-9964 Huldange</v>
      </c>
      <c r="G11" s="96"/>
    </row>
    <row r="12" spans="1:8" x14ac:dyDescent="0.2">
      <c r="A12" s="97" t="s">
        <v>7</v>
      </c>
      <c r="B12" s="97"/>
      <c r="C12" s="97"/>
      <c r="D12" s="97"/>
      <c r="E12" s="6"/>
      <c r="F12" s="6"/>
      <c r="G12" s="6"/>
    </row>
    <row r="13" spans="1:8" ht="12.75" thickBot="1" x14ac:dyDescent="0.25">
      <c r="A13" s="6"/>
      <c r="B13" s="6"/>
      <c r="C13" s="6"/>
      <c r="D13" s="6"/>
      <c r="E13" s="6"/>
      <c r="F13" s="6"/>
      <c r="G13" s="6"/>
    </row>
    <row r="14" spans="1:8" ht="23.25" thickBot="1" x14ac:dyDescent="0.25">
      <c r="A14" s="21" t="s">
        <v>8</v>
      </c>
      <c r="B14" s="17" t="s">
        <v>46</v>
      </c>
      <c r="C14" s="18" t="s">
        <v>9</v>
      </c>
      <c r="D14" s="19" t="s">
        <v>10</v>
      </c>
      <c r="E14" s="20"/>
      <c r="F14" s="21" t="s">
        <v>11</v>
      </c>
      <c r="G14" s="70" t="s">
        <v>10</v>
      </c>
    </row>
    <row r="15" spans="1:8" ht="12.75" thickBot="1" x14ac:dyDescent="0.25">
      <c r="A15" s="11"/>
      <c r="B15" s="22"/>
      <c r="C15" s="22"/>
      <c r="D15" s="22"/>
      <c r="E15" s="22"/>
      <c r="F15" s="22"/>
      <c r="G15" s="6"/>
    </row>
    <row r="16" spans="1:8" x14ac:dyDescent="0.2">
      <c r="A16" s="23" t="s">
        <v>12</v>
      </c>
      <c r="B16" s="24">
        <f>D49</f>
        <v>173</v>
      </c>
      <c r="C16" s="24">
        <f>D50</f>
        <v>18.753757225433528</v>
      </c>
      <c r="D16" s="25">
        <v>3244.4</v>
      </c>
      <c r="E16" s="26"/>
      <c r="F16" s="26"/>
      <c r="G16" s="6"/>
    </row>
    <row r="17" spans="1:7" x14ac:dyDescent="0.2">
      <c r="A17" s="27" t="s">
        <v>43</v>
      </c>
      <c r="B17" s="26">
        <f>8*3</f>
        <v>24</v>
      </c>
      <c r="C17" s="26">
        <v>0</v>
      </c>
      <c r="D17" s="28">
        <v>0</v>
      </c>
      <c r="E17" s="26"/>
      <c r="F17" s="26"/>
      <c r="G17" s="6"/>
    </row>
    <row r="18" spans="1:7" x14ac:dyDescent="0.2">
      <c r="A18" s="27" t="s">
        <v>31</v>
      </c>
      <c r="B18" s="26">
        <v>0</v>
      </c>
      <c r="C18" s="26">
        <v>0</v>
      </c>
      <c r="D18" s="28">
        <v>0</v>
      </c>
      <c r="E18" s="26"/>
      <c r="F18" s="26"/>
      <c r="G18" s="6"/>
    </row>
    <row r="19" spans="1:7" ht="12.75" thickBot="1" x14ac:dyDescent="0.25">
      <c r="A19" s="29" t="s">
        <v>48</v>
      </c>
      <c r="B19" s="30">
        <v>0</v>
      </c>
      <c r="C19" s="30"/>
      <c r="D19" s="31">
        <v>0</v>
      </c>
      <c r="E19" s="26"/>
      <c r="F19" s="26"/>
      <c r="G19" s="6"/>
    </row>
    <row r="20" spans="1:7" ht="12.75" thickBot="1" x14ac:dyDescent="0.25">
      <c r="A20" s="102" t="s">
        <v>13</v>
      </c>
      <c r="B20" s="102"/>
      <c r="C20" s="102"/>
      <c r="D20" s="32">
        <f>D16</f>
        <v>3244.4</v>
      </c>
      <c r="E20" s="33"/>
      <c r="F20" s="42">
        <f>Avril!G20</f>
        <v>12661.4</v>
      </c>
      <c r="G20" s="62">
        <f>F20+D20</f>
        <v>15905.8</v>
      </c>
    </row>
    <row r="21" spans="1:7" ht="12.75" thickBot="1" x14ac:dyDescent="0.25">
      <c r="A21" s="9"/>
      <c r="B21" s="26"/>
      <c r="C21" s="26"/>
      <c r="D21" s="33"/>
      <c r="E21" s="33"/>
      <c r="F21" s="24"/>
      <c r="G21" s="68"/>
    </row>
    <row r="22" spans="1:7" ht="12.75" thickBot="1" x14ac:dyDescent="0.25">
      <c r="A22" s="35" t="s">
        <v>14</v>
      </c>
      <c r="B22" s="36"/>
      <c r="C22" s="36"/>
      <c r="D22" s="37"/>
      <c r="E22" s="9"/>
      <c r="F22" s="26"/>
      <c r="G22" s="68"/>
    </row>
    <row r="23" spans="1:7" x14ac:dyDescent="0.2">
      <c r="A23" s="39" t="s">
        <v>15</v>
      </c>
      <c r="B23" s="40">
        <f>Avril!B23</f>
        <v>2.8000000000000001E-2</v>
      </c>
      <c r="C23" s="26"/>
      <c r="D23" s="41">
        <f>D20*B23</f>
        <v>90.84320000000001</v>
      </c>
      <c r="E23" s="26"/>
      <c r="F23" s="42">
        <f>Avril!G23</f>
        <v>354.51920000000001</v>
      </c>
      <c r="G23" s="63">
        <f>F23+D23</f>
        <v>445.36240000000004</v>
      </c>
    </row>
    <row r="24" spans="1:7" x14ac:dyDescent="0.2">
      <c r="A24" s="39" t="s">
        <v>16</v>
      </c>
      <c r="B24" s="40">
        <f>Avril!B24</f>
        <v>2.5000000000000001E-3</v>
      </c>
      <c r="C24" s="26"/>
      <c r="D24" s="41">
        <f>B24*D20</f>
        <v>8.1110000000000007</v>
      </c>
      <c r="E24" s="26"/>
      <c r="F24" s="43">
        <f>Avril!G24</f>
        <v>31.653500000000001</v>
      </c>
      <c r="G24" s="64">
        <f t="shared" ref="G24:G42" si="0">F24+D24</f>
        <v>39.764499999999998</v>
      </c>
    </row>
    <row r="25" spans="1:7" x14ac:dyDescent="0.2">
      <c r="A25" s="39" t="s">
        <v>17</v>
      </c>
      <c r="B25" s="40">
        <f>Avril!B25</f>
        <v>0.08</v>
      </c>
      <c r="C25" s="26"/>
      <c r="D25" s="41">
        <f>B25*D20</f>
        <v>259.55200000000002</v>
      </c>
      <c r="E25" s="26"/>
      <c r="F25" s="43">
        <f>Avril!G25</f>
        <v>1012.912</v>
      </c>
      <c r="G25" s="64">
        <f t="shared" si="0"/>
        <v>1272.4639999999999</v>
      </c>
    </row>
    <row r="26" spans="1:7" ht="12.75" thickBot="1" x14ac:dyDescent="0.25">
      <c r="A26" s="39" t="s">
        <v>18</v>
      </c>
      <c r="B26" s="40">
        <f>Avril!B26</f>
        <v>1.4E-2</v>
      </c>
      <c r="C26" s="26"/>
      <c r="D26" s="41">
        <f>B26*(D20-675.93)</f>
        <v>35.958580000000005</v>
      </c>
      <c r="E26" s="26"/>
      <c r="F26" s="46">
        <f>Avril!G26</f>
        <v>141.03263999999999</v>
      </c>
      <c r="G26" s="64">
        <f t="shared" si="0"/>
        <v>176.99122</v>
      </c>
    </row>
    <row r="27" spans="1:7" ht="12.75" thickBot="1" x14ac:dyDescent="0.25">
      <c r="A27" s="100" t="s">
        <v>19</v>
      </c>
      <c r="B27" s="100"/>
      <c r="C27" s="100"/>
      <c r="D27" s="44">
        <f>SUM(D23:D26)</f>
        <v>394.46478000000002</v>
      </c>
      <c r="E27" s="33"/>
      <c r="F27" s="34">
        <f>Avril!G27</f>
        <v>1540.11734</v>
      </c>
      <c r="G27" s="62">
        <f t="shared" si="0"/>
        <v>1934.58212</v>
      </c>
    </row>
    <row r="28" spans="1:7" ht="12.75" thickBot="1" x14ac:dyDescent="0.25">
      <c r="A28" s="9"/>
      <c r="B28" s="40"/>
      <c r="C28" s="26"/>
      <c r="D28" s="33"/>
      <c r="E28" s="33"/>
      <c r="F28" s="26"/>
      <c r="G28" s="68"/>
    </row>
    <row r="29" spans="1:7" ht="12.75" thickBot="1" x14ac:dyDescent="0.25">
      <c r="A29" s="23" t="s">
        <v>20</v>
      </c>
      <c r="B29" s="24"/>
      <c r="C29" s="24"/>
      <c r="D29" s="45"/>
      <c r="E29" s="33"/>
      <c r="F29" s="26"/>
      <c r="G29" s="71"/>
    </row>
    <row r="30" spans="1:7" x14ac:dyDescent="0.2">
      <c r="A30" s="27" t="s">
        <v>21</v>
      </c>
      <c r="B30" s="26"/>
      <c r="C30" s="26"/>
      <c r="D30" s="28">
        <f>Avril!D30</f>
        <v>0</v>
      </c>
      <c r="E30" s="26"/>
      <c r="F30" s="42">
        <f>Avril!G30</f>
        <v>0</v>
      </c>
      <c r="G30" s="64">
        <f>F30+D30</f>
        <v>0</v>
      </c>
    </row>
    <row r="31" spans="1:7" x14ac:dyDescent="0.2">
      <c r="A31" s="27" t="s">
        <v>22</v>
      </c>
      <c r="B31" s="26"/>
      <c r="C31" s="26"/>
      <c r="D31" s="28">
        <f>Avril!D31</f>
        <v>0</v>
      </c>
      <c r="E31" s="26"/>
      <c r="F31" s="43">
        <f>Avril!G31</f>
        <v>0</v>
      </c>
      <c r="G31" s="64">
        <f t="shared" si="0"/>
        <v>0</v>
      </c>
    </row>
    <row r="32" spans="1:7" x14ac:dyDescent="0.2">
      <c r="A32" s="27" t="s">
        <v>23</v>
      </c>
      <c r="B32" s="26"/>
      <c r="C32" s="26"/>
      <c r="D32" s="28">
        <f>Avril!D32</f>
        <v>0</v>
      </c>
      <c r="E32" s="26"/>
      <c r="F32" s="43">
        <f>Avril!G32</f>
        <v>0</v>
      </c>
      <c r="G32" s="64">
        <f t="shared" si="0"/>
        <v>0</v>
      </c>
    </row>
    <row r="33" spans="1:7" ht="12.75" thickBot="1" x14ac:dyDescent="0.25">
      <c r="A33" s="29" t="s">
        <v>24</v>
      </c>
      <c r="B33" s="30"/>
      <c r="C33" s="30"/>
      <c r="D33" s="31">
        <f>Avril!D33</f>
        <v>0</v>
      </c>
      <c r="E33" s="26"/>
      <c r="F33" s="46">
        <f>Avril!G33</f>
        <v>0</v>
      </c>
      <c r="G33" s="65">
        <f t="shared" si="0"/>
        <v>0</v>
      </c>
    </row>
    <row r="34" spans="1:7" ht="12.75" thickBot="1" x14ac:dyDescent="0.25">
      <c r="A34" s="11"/>
      <c r="B34" s="26"/>
      <c r="C34" s="26"/>
      <c r="D34" s="26"/>
      <c r="E34" s="26"/>
      <c r="F34" s="26"/>
      <c r="G34" s="68"/>
    </row>
    <row r="35" spans="1:7" ht="12.75" thickBot="1" x14ac:dyDescent="0.25">
      <c r="A35" s="100" t="s">
        <v>25</v>
      </c>
      <c r="B35" s="100"/>
      <c r="C35" s="100"/>
      <c r="D35" s="44">
        <f>D20-D23-D24-D25-D30-D31-D32-D33</f>
        <v>2885.8938000000003</v>
      </c>
      <c r="E35" s="33"/>
      <c r="F35" s="34">
        <f>Avril!G35</f>
        <v>11262.315299999998</v>
      </c>
      <c r="G35" s="62">
        <f t="shared" si="0"/>
        <v>14148.209099999998</v>
      </c>
    </row>
    <row r="36" spans="1:7" ht="12.75" thickBot="1" x14ac:dyDescent="0.25">
      <c r="A36" s="9"/>
      <c r="B36" s="26"/>
      <c r="C36" s="26"/>
      <c r="D36" s="33"/>
      <c r="E36" s="33"/>
      <c r="F36" s="26"/>
      <c r="G36" s="68"/>
    </row>
    <row r="37" spans="1:7" x14ac:dyDescent="0.2">
      <c r="A37" s="47" t="s">
        <v>26</v>
      </c>
      <c r="B37" s="24"/>
      <c r="C37" s="24"/>
      <c r="D37" s="25">
        <v>240.6</v>
      </c>
      <c r="E37" s="26"/>
      <c r="F37" s="42">
        <f>Avril!G37</f>
        <v>901.2</v>
      </c>
      <c r="G37" s="63">
        <f t="shared" si="0"/>
        <v>1141.8</v>
      </c>
    </row>
    <row r="38" spans="1:7" x14ac:dyDescent="0.2">
      <c r="A38" s="72" t="s">
        <v>44</v>
      </c>
      <c r="B38" s="26"/>
      <c r="C38" s="26"/>
      <c r="D38" s="28">
        <f>IF(D20&lt;1800,0,IF(D20&lt;=3000,81,IF(D20&gt;=3600,0,81/600*(3600-D20))))</f>
        <v>48.005999999999993</v>
      </c>
      <c r="E38" s="26"/>
      <c r="F38" s="43">
        <f>Avril!G38</f>
        <v>242.68100000000004</v>
      </c>
      <c r="G38" s="64">
        <f t="shared" si="0"/>
        <v>290.68700000000001</v>
      </c>
    </row>
    <row r="39" spans="1:7" x14ac:dyDescent="0.2">
      <c r="A39" s="27" t="s">
        <v>27</v>
      </c>
      <c r="B39" s="26"/>
      <c r="C39" s="26"/>
      <c r="D39" s="28">
        <f>IF(D20&lt;78,0,IF(D20&lt;936,((300+(D20*12-936)*0.029)/12),IF(D20&lt;3333.33,50,IF(D20&gt;6666.5,0,((600-(D20*12-40000)*0.015)/12)))))</f>
        <v>50</v>
      </c>
      <c r="E39" s="26"/>
      <c r="F39" s="43">
        <f>Avril!G39</f>
        <v>200</v>
      </c>
      <c r="G39" s="64">
        <f t="shared" si="0"/>
        <v>250</v>
      </c>
    </row>
    <row r="40" spans="1:7" ht="12.75" thickBot="1" x14ac:dyDescent="0.25">
      <c r="A40" s="29" t="s">
        <v>58</v>
      </c>
      <c r="B40" s="30"/>
      <c r="C40" s="30"/>
      <c r="D40" s="31">
        <f>IF(D20&lt;78,0,IF(D20&lt;3333.33,16,IF(D20&lt;6667,((16-(D20-3333.33)*0.0042)),0)))</f>
        <v>16</v>
      </c>
      <c r="E40" s="81"/>
      <c r="F40" s="46">
        <f>Avril!G40</f>
        <v>66</v>
      </c>
      <c r="G40" s="65">
        <f t="shared" ref="G40" si="1">F40+D40</f>
        <v>82</v>
      </c>
    </row>
    <row r="41" spans="1:7" ht="12.75" thickBot="1" x14ac:dyDescent="0.25">
      <c r="A41" s="11"/>
      <c r="B41" s="26"/>
      <c r="C41" s="26"/>
      <c r="D41" s="22"/>
      <c r="E41" s="22"/>
      <c r="F41" s="26"/>
      <c r="G41" s="68"/>
    </row>
    <row r="42" spans="1:7" ht="12.75" thickBot="1" x14ac:dyDescent="0.25">
      <c r="A42" s="100" t="s">
        <v>28</v>
      </c>
      <c r="B42" s="100"/>
      <c r="C42" s="100"/>
      <c r="D42" s="48">
        <f>D20-D27-D37+D38+D39+D40</f>
        <v>2723.3412200000002</v>
      </c>
      <c r="E42" s="26"/>
      <c r="F42" s="34">
        <f>Avril!G42</f>
        <v>10718.793659999998</v>
      </c>
      <c r="G42" s="62">
        <f t="shared" si="0"/>
        <v>13442.134879999998</v>
      </c>
    </row>
    <row r="43" spans="1:7" ht="12.75" thickBot="1" x14ac:dyDescent="0.25">
      <c r="A43" s="100" t="s">
        <v>60</v>
      </c>
      <c r="B43" s="100"/>
      <c r="C43" s="100"/>
      <c r="D43" s="48">
        <v>56</v>
      </c>
      <c r="E43" s="11"/>
      <c r="F43" s="11" t="s">
        <v>29</v>
      </c>
      <c r="G43" s="68"/>
    </row>
    <row r="44" spans="1:7" ht="12.75" thickBot="1" x14ac:dyDescent="0.25">
      <c r="A44" s="98" t="s">
        <v>61</v>
      </c>
      <c r="B44" s="99"/>
      <c r="C44" s="99"/>
      <c r="D44" s="83">
        <v>1000</v>
      </c>
      <c r="E44" s="11"/>
      <c r="F44" s="69" t="s">
        <v>30</v>
      </c>
      <c r="G44" s="62">
        <f>D42-D43-D44</f>
        <v>1667.3412200000002</v>
      </c>
    </row>
    <row r="45" spans="1:7" ht="12.75" thickBot="1" x14ac:dyDescent="0.25">
      <c r="A45" s="11"/>
      <c r="B45" s="11"/>
      <c r="C45" s="11"/>
      <c r="D45" s="11"/>
      <c r="E45" s="11"/>
      <c r="F45" s="9"/>
      <c r="G45" s="6"/>
    </row>
    <row r="46" spans="1:7" ht="12.75" thickBot="1" x14ac:dyDescent="0.25">
      <c r="A46" s="50" t="s">
        <v>31</v>
      </c>
      <c r="B46" s="11"/>
      <c r="C46" s="38"/>
      <c r="D46" s="38"/>
      <c r="E46" s="38"/>
      <c r="F46" s="38"/>
      <c r="G46" s="6"/>
    </row>
    <row r="47" spans="1:7" ht="12.75" thickBot="1" x14ac:dyDescent="0.25">
      <c r="A47" s="51" t="s">
        <v>55</v>
      </c>
      <c r="B47" s="8">
        <f>Avril!B49</f>
        <v>208</v>
      </c>
      <c r="C47" s="100" t="s">
        <v>32</v>
      </c>
      <c r="D47" s="101"/>
      <c r="E47" s="49"/>
      <c r="F47" s="88" t="s">
        <v>33</v>
      </c>
      <c r="G47" s="89"/>
    </row>
    <row r="48" spans="1:7" x14ac:dyDescent="0.2">
      <c r="A48" s="82" t="s">
        <v>56</v>
      </c>
      <c r="B48" s="8">
        <f>Avril!B50</f>
        <v>-4</v>
      </c>
      <c r="C48" s="51" t="s">
        <v>34</v>
      </c>
      <c r="D48" s="52">
        <v>3244.4</v>
      </c>
      <c r="E48" s="26"/>
      <c r="F48" s="53" t="s">
        <v>35</v>
      </c>
      <c r="G48" s="66" t="str">
        <f>Avril!G50</f>
        <v>D608388-2022</v>
      </c>
    </row>
    <row r="49" spans="1:7" x14ac:dyDescent="0.2">
      <c r="A49" s="54" t="s">
        <v>36</v>
      </c>
      <c r="B49" s="8">
        <f>Avril!B51+B18</f>
        <v>25</v>
      </c>
      <c r="C49" s="54" t="s">
        <v>37</v>
      </c>
      <c r="D49" s="55">
        <f>Avril!D51</f>
        <v>173</v>
      </c>
      <c r="E49" s="26"/>
      <c r="F49" s="56" t="s">
        <v>38</v>
      </c>
      <c r="G49" s="57">
        <f>Avril!G51</f>
        <v>1</v>
      </c>
    </row>
    <row r="50" spans="1:7" ht="12.75" thickBot="1" x14ac:dyDescent="0.25">
      <c r="A50" s="58" t="s">
        <v>39</v>
      </c>
      <c r="B50" s="8">
        <f>(B48+B47)-B49</f>
        <v>179</v>
      </c>
      <c r="C50" s="58" t="s">
        <v>40</v>
      </c>
      <c r="D50" s="59">
        <f>D48/D49</f>
        <v>18.753757225433528</v>
      </c>
      <c r="E50" s="26"/>
      <c r="F50" s="60" t="s">
        <v>41</v>
      </c>
      <c r="G50" s="74" t="str">
        <f>Avril!G52</f>
        <v>-</v>
      </c>
    </row>
    <row r="51" spans="1:7" x14ac:dyDescent="0.2">
      <c r="A51" s="9"/>
      <c r="B51" s="8"/>
      <c r="C51" s="9"/>
      <c r="D51" s="26"/>
      <c r="E51" s="26"/>
      <c r="F51" s="11"/>
      <c r="G51" s="6"/>
    </row>
    <row r="52" spans="1:7" x14ac:dyDescent="0.2">
      <c r="A52" s="90" t="s">
        <v>42</v>
      </c>
      <c r="B52" s="90"/>
      <c r="C52" s="90"/>
      <c r="D52" s="90"/>
      <c r="E52" s="11"/>
      <c r="F52" s="11"/>
      <c r="G52" s="6"/>
    </row>
    <row r="57" spans="1:7" ht="15" x14ac:dyDescent="0.25">
      <c r="B57"/>
    </row>
  </sheetData>
  <mergeCells count="17">
    <mergeCell ref="F10:G10"/>
    <mergeCell ref="A2:G2"/>
    <mergeCell ref="F5:G5"/>
    <mergeCell ref="F6:G6"/>
    <mergeCell ref="F7:G7"/>
    <mergeCell ref="F9:G9"/>
    <mergeCell ref="F47:G47"/>
    <mergeCell ref="A52:D52"/>
    <mergeCell ref="F11:G11"/>
    <mergeCell ref="A12:D12"/>
    <mergeCell ref="A20:C20"/>
    <mergeCell ref="A27:C27"/>
    <mergeCell ref="A35:C35"/>
    <mergeCell ref="A42:C42"/>
    <mergeCell ref="C47:D47"/>
    <mergeCell ref="A43:C43"/>
    <mergeCell ref="A44:C44"/>
  </mergeCells>
  <pageMargins left="0.7" right="0.7" top="0.75" bottom="0.75" header="0.3" footer="0.3"/>
  <pageSetup paperSize="9" orientation="portrait" r:id="rId1"/>
  <headerFooter>
    <oddFooter>&amp;LGroupe Advensys Luxembourg S.A
contact@advensys-conseil.lu&amp;C
Grand rue 34
L-9710 Clervaux&amp;R+352 28 79 76 26       
+352 661 11 22 60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1FF02-1DE0-4242-94B3-ECD0FAB45A41}">
  <sheetPr codeName="Feuil6"/>
  <dimension ref="A1:H57"/>
  <sheetViews>
    <sheetView topLeftCell="A17" zoomScaleNormal="100" workbookViewId="0">
      <selection activeCell="D26" sqref="D26"/>
    </sheetView>
  </sheetViews>
  <sheetFormatPr baseColWidth="10" defaultColWidth="11.42578125" defaultRowHeight="12" x14ac:dyDescent="0.2"/>
  <cols>
    <col min="1" max="1" width="20.140625" style="1" bestFit="1" customWidth="1"/>
    <col min="2" max="2" width="10.42578125" style="1" customWidth="1"/>
    <col min="3" max="3" width="15" style="1" customWidth="1"/>
    <col min="4" max="4" width="8.7109375" style="1" customWidth="1"/>
    <col min="5" max="5" width="5" style="1" customWidth="1"/>
    <col min="6" max="6" width="13.85546875" style="1" customWidth="1"/>
    <col min="7" max="7" width="14.28515625" style="1" customWidth="1"/>
    <col min="8" max="16384" width="11.42578125" style="1"/>
  </cols>
  <sheetData>
    <row r="1" spans="1:8" ht="12.75" thickBot="1" x14ac:dyDescent="0.25"/>
    <row r="2" spans="1:8" ht="15.75" thickBot="1" x14ac:dyDescent="0.3">
      <c r="A2" s="85" t="s">
        <v>45</v>
      </c>
      <c r="B2" s="86"/>
      <c r="C2" s="86"/>
      <c r="D2" s="86"/>
      <c r="E2" s="86"/>
      <c r="F2" s="86"/>
      <c r="G2" s="87"/>
      <c r="H2" s="2"/>
    </row>
    <row r="4" spans="1:8" ht="12.75" thickBot="1" x14ac:dyDescent="0.25"/>
    <row r="5" spans="1:8" x14ac:dyDescent="0.2">
      <c r="A5" s="3" t="s">
        <v>0</v>
      </c>
      <c r="B5" s="61">
        <f>mai!B5</f>
        <v>2</v>
      </c>
      <c r="C5" s="4"/>
      <c r="D5" s="5"/>
      <c r="E5" s="6"/>
      <c r="F5" s="91" t="str">
        <f>mai!F5</f>
        <v>Groupe Advensys Luxembourg S.A</v>
      </c>
      <c r="G5" s="92"/>
    </row>
    <row r="6" spans="1:8" x14ac:dyDescent="0.2">
      <c r="A6" s="7" t="s">
        <v>1</v>
      </c>
      <c r="B6" s="67" t="str">
        <f>mai!B6</f>
        <v>968,04</v>
      </c>
      <c r="C6" s="9"/>
      <c r="D6" s="10"/>
      <c r="E6" s="6"/>
      <c r="F6" s="93" t="str">
        <f>mai!F6</f>
        <v>Duarrefstrooss 49</v>
      </c>
      <c r="G6" s="94"/>
    </row>
    <row r="7" spans="1:8" ht="12.75" thickBot="1" x14ac:dyDescent="0.25">
      <c r="A7" s="7" t="s">
        <v>2</v>
      </c>
      <c r="B7" s="67" t="str">
        <f>mai!B7</f>
        <v xml:space="preserve">Comptable </v>
      </c>
      <c r="C7" s="9"/>
      <c r="D7" s="10"/>
      <c r="E7" s="6"/>
      <c r="F7" s="95" t="str">
        <f>mai!F7</f>
        <v>L-9964 Huldange</v>
      </c>
      <c r="G7" s="96"/>
    </row>
    <row r="8" spans="1:8" ht="12.75" thickBot="1" x14ac:dyDescent="0.25">
      <c r="A8" s="7" t="s">
        <v>3</v>
      </c>
      <c r="B8" s="73">
        <f>mai!B8</f>
        <v>44455</v>
      </c>
      <c r="C8" s="9"/>
      <c r="D8" s="10"/>
      <c r="E8" s="6"/>
      <c r="F8" s="67"/>
      <c r="G8" s="12"/>
    </row>
    <row r="9" spans="1:8" x14ac:dyDescent="0.2">
      <c r="A9" s="7" t="s">
        <v>4</v>
      </c>
      <c r="B9" s="67" t="str">
        <f>mai!B9</f>
        <v>1996 0905 124 86</v>
      </c>
      <c r="C9" s="9"/>
      <c r="D9" s="10"/>
      <c r="E9" s="6"/>
      <c r="F9" s="91" t="str">
        <f>mai!F9</f>
        <v>BERTHE Alexandra</v>
      </c>
      <c r="G9" s="92"/>
    </row>
    <row r="10" spans="1:8" x14ac:dyDescent="0.2">
      <c r="A10" s="7" t="s">
        <v>5</v>
      </c>
      <c r="B10" s="67">
        <f>mai!B10</f>
        <v>20152206748</v>
      </c>
      <c r="C10" s="9"/>
      <c r="D10" s="10"/>
      <c r="E10" s="6"/>
      <c r="F10" s="93" t="str">
        <f>mai!F10</f>
        <v>93, Duarrefstrooss</v>
      </c>
      <c r="G10" s="94"/>
    </row>
    <row r="11" spans="1:8" ht="12.75" thickBot="1" x14ac:dyDescent="0.25">
      <c r="A11" s="13" t="s">
        <v>6</v>
      </c>
      <c r="B11" s="14" t="s">
        <v>67</v>
      </c>
      <c r="C11" s="15"/>
      <c r="D11" s="16"/>
      <c r="E11" s="6"/>
      <c r="F11" s="95" t="str">
        <f>mai!F11</f>
        <v>L-9964 Huldange</v>
      </c>
      <c r="G11" s="96"/>
    </row>
    <row r="12" spans="1:8" x14ac:dyDescent="0.2">
      <c r="A12" s="97" t="s">
        <v>7</v>
      </c>
      <c r="B12" s="97"/>
      <c r="C12" s="97"/>
      <c r="D12" s="97"/>
      <c r="E12" s="6"/>
      <c r="F12" s="6"/>
      <c r="G12" s="6"/>
    </row>
    <row r="13" spans="1:8" ht="12.75" thickBot="1" x14ac:dyDescent="0.25">
      <c r="A13" s="6"/>
      <c r="B13" s="6"/>
      <c r="C13" s="6"/>
      <c r="D13" s="6"/>
      <c r="E13" s="6"/>
      <c r="F13" s="6"/>
      <c r="G13" s="6"/>
    </row>
    <row r="14" spans="1:8" ht="23.25" thickBot="1" x14ac:dyDescent="0.25">
      <c r="A14" s="21" t="s">
        <v>8</v>
      </c>
      <c r="B14" s="17" t="s">
        <v>46</v>
      </c>
      <c r="C14" s="18" t="s">
        <v>9</v>
      </c>
      <c r="D14" s="19" t="s">
        <v>10</v>
      </c>
      <c r="E14" s="20"/>
      <c r="F14" s="21" t="s">
        <v>11</v>
      </c>
      <c r="G14" s="70" t="s">
        <v>10</v>
      </c>
    </row>
    <row r="15" spans="1:8" ht="12.75" thickBot="1" x14ac:dyDescent="0.25">
      <c r="A15" s="11"/>
      <c r="B15" s="22"/>
      <c r="C15" s="22"/>
      <c r="D15" s="22"/>
      <c r="E15" s="22"/>
      <c r="F15" s="22"/>
      <c r="G15" s="6"/>
    </row>
    <row r="16" spans="1:8" x14ac:dyDescent="0.2">
      <c r="A16" s="23" t="s">
        <v>12</v>
      </c>
      <c r="B16" s="24">
        <f>D49</f>
        <v>173</v>
      </c>
      <c r="C16" s="24">
        <f>D50</f>
        <v>18.753757225433528</v>
      </c>
      <c r="D16" s="25">
        <f>B16*C16</f>
        <v>3244.4000000000005</v>
      </c>
      <c r="E16" s="26"/>
      <c r="F16" s="26"/>
      <c r="G16" s="6"/>
    </row>
    <row r="17" spans="1:7" x14ac:dyDescent="0.2">
      <c r="A17" s="27" t="s">
        <v>43</v>
      </c>
      <c r="B17" s="26">
        <v>16</v>
      </c>
      <c r="C17" s="26">
        <v>0</v>
      </c>
      <c r="D17" s="28">
        <v>0</v>
      </c>
      <c r="E17" s="26"/>
      <c r="F17" s="26"/>
      <c r="G17" s="6"/>
    </row>
    <row r="18" spans="1:7" x14ac:dyDescent="0.2">
      <c r="A18" s="27" t="s">
        <v>31</v>
      </c>
      <c r="B18" s="26">
        <f>9*8</f>
        <v>72</v>
      </c>
      <c r="C18" s="26">
        <v>0</v>
      </c>
      <c r="D18" s="28">
        <v>0</v>
      </c>
      <c r="E18" s="26"/>
      <c r="F18" s="26"/>
      <c r="G18" s="6"/>
    </row>
    <row r="19" spans="1:7" ht="12.75" thickBot="1" x14ac:dyDescent="0.25">
      <c r="A19" s="29" t="s">
        <v>48</v>
      </c>
      <c r="B19" s="30"/>
      <c r="C19" s="30"/>
      <c r="D19" s="31"/>
      <c r="E19" s="26"/>
      <c r="F19" s="26"/>
      <c r="G19" s="6"/>
    </row>
    <row r="20" spans="1:7" ht="12.75" thickBot="1" x14ac:dyDescent="0.25">
      <c r="A20" s="102" t="s">
        <v>13</v>
      </c>
      <c r="B20" s="102"/>
      <c r="C20" s="102"/>
      <c r="D20" s="32">
        <f>D16</f>
        <v>3244.4000000000005</v>
      </c>
      <c r="E20" s="33"/>
      <c r="F20" s="42">
        <f>mai!G20</f>
        <v>15905.8</v>
      </c>
      <c r="G20" s="62">
        <f>F20+D20</f>
        <v>19150.2</v>
      </c>
    </row>
    <row r="21" spans="1:7" ht="12.75" thickBot="1" x14ac:dyDescent="0.25">
      <c r="A21" s="9"/>
      <c r="B21" s="26"/>
      <c r="C21" s="26"/>
      <c r="D21" s="33"/>
      <c r="E21" s="33"/>
      <c r="F21" s="24"/>
      <c r="G21" s="68"/>
    </row>
    <row r="22" spans="1:7" ht="12.75" thickBot="1" x14ac:dyDescent="0.25">
      <c r="A22" s="35" t="s">
        <v>14</v>
      </c>
      <c r="B22" s="36"/>
      <c r="C22" s="36"/>
      <c r="D22" s="37"/>
      <c r="E22" s="9"/>
      <c r="F22" s="26"/>
      <c r="G22" s="68"/>
    </row>
    <row r="23" spans="1:7" x14ac:dyDescent="0.2">
      <c r="A23" s="39" t="s">
        <v>15</v>
      </c>
      <c r="B23" s="40">
        <f>mai!B23</f>
        <v>2.8000000000000001E-2</v>
      </c>
      <c r="C23" s="26"/>
      <c r="D23" s="41">
        <f>D20*B23</f>
        <v>90.84320000000001</v>
      </c>
      <c r="E23" s="26"/>
      <c r="F23" s="42">
        <f>mai!G23</f>
        <v>445.36240000000004</v>
      </c>
      <c r="G23" s="63">
        <f>F23+D23</f>
        <v>536.2056</v>
      </c>
    </row>
    <row r="24" spans="1:7" x14ac:dyDescent="0.2">
      <c r="A24" s="39" t="s">
        <v>16</v>
      </c>
      <c r="B24" s="40">
        <f>mai!B24</f>
        <v>2.5000000000000001E-3</v>
      </c>
      <c r="C24" s="26"/>
      <c r="D24" s="41">
        <f>B24*D20</f>
        <v>8.1110000000000007</v>
      </c>
      <c r="E24" s="26"/>
      <c r="F24" s="43">
        <f>mai!G24</f>
        <v>39.764499999999998</v>
      </c>
      <c r="G24" s="64">
        <f t="shared" ref="G24:G38" si="0">F24+D24</f>
        <v>47.875500000000002</v>
      </c>
    </row>
    <row r="25" spans="1:7" x14ac:dyDescent="0.2">
      <c r="A25" s="39" t="s">
        <v>17</v>
      </c>
      <c r="B25" s="40">
        <f>mai!B25</f>
        <v>0.08</v>
      </c>
      <c r="C25" s="26"/>
      <c r="D25" s="41">
        <f>B25*D20</f>
        <v>259.55200000000002</v>
      </c>
      <c r="E25" s="26"/>
      <c r="F25" s="43">
        <f>mai!G25</f>
        <v>1272.4639999999999</v>
      </c>
      <c r="G25" s="64">
        <f t="shared" si="0"/>
        <v>1532.0160000000001</v>
      </c>
    </row>
    <row r="26" spans="1:7" ht="12.75" thickBot="1" x14ac:dyDescent="0.25">
      <c r="A26" s="39" t="s">
        <v>18</v>
      </c>
      <c r="B26" s="40">
        <f>mai!B26</f>
        <v>1.4E-2</v>
      </c>
      <c r="C26" s="26"/>
      <c r="D26" s="41">
        <f>B26*(D20-675.93)</f>
        <v>35.958580000000012</v>
      </c>
      <c r="E26" s="26"/>
      <c r="F26" s="46">
        <f>mai!G26</f>
        <v>176.99122</v>
      </c>
      <c r="G26" s="64">
        <f t="shared" si="0"/>
        <v>212.94980000000001</v>
      </c>
    </row>
    <row r="27" spans="1:7" ht="12.75" thickBot="1" x14ac:dyDescent="0.25">
      <c r="A27" s="100" t="s">
        <v>19</v>
      </c>
      <c r="B27" s="100"/>
      <c r="C27" s="100"/>
      <c r="D27" s="44">
        <f>SUM(D23:D26)</f>
        <v>394.46478000000002</v>
      </c>
      <c r="E27" s="33"/>
      <c r="F27" s="34">
        <f>mai!G27</f>
        <v>1934.58212</v>
      </c>
      <c r="G27" s="62">
        <f t="shared" si="0"/>
        <v>2329.0469000000003</v>
      </c>
    </row>
    <row r="28" spans="1:7" ht="12.75" thickBot="1" x14ac:dyDescent="0.25">
      <c r="A28" s="9"/>
      <c r="B28" s="40"/>
      <c r="C28" s="26"/>
      <c r="D28" s="33"/>
      <c r="E28" s="33"/>
      <c r="F28" s="26"/>
      <c r="G28" s="68"/>
    </row>
    <row r="29" spans="1:7" ht="12.75" thickBot="1" x14ac:dyDescent="0.25">
      <c r="A29" s="23" t="s">
        <v>20</v>
      </c>
      <c r="B29" s="24"/>
      <c r="C29" s="24"/>
      <c r="D29" s="45"/>
      <c r="E29" s="33"/>
      <c r="F29" s="26"/>
      <c r="G29" s="71"/>
    </row>
    <row r="30" spans="1:7" x14ac:dyDescent="0.2">
      <c r="A30" s="27" t="s">
        <v>21</v>
      </c>
      <c r="B30" s="26"/>
      <c r="C30" s="26"/>
      <c r="D30" s="28">
        <f>mai!D30</f>
        <v>0</v>
      </c>
      <c r="E30" s="26"/>
      <c r="F30" s="42">
        <f>mai!G30</f>
        <v>0</v>
      </c>
      <c r="G30" s="64">
        <f>F30+D30</f>
        <v>0</v>
      </c>
    </row>
    <row r="31" spans="1:7" x14ac:dyDescent="0.2">
      <c r="A31" s="27" t="s">
        <v>22</v>
      </c>
      <c r="B31" s="26"/>
      <c r="C31" s="26"/>
      <c r="D31" s="28">
        <f>mai!D31</f>
        <v>0</v>
      </c>
      <c r="E31" s="26"/>
      <c r="F31" s="43">
        <f>mai!G31</f>
        <v>0</v>
      </c>
      <c r="G31" s="64">
        <f t="shared" si="0"/>
        <v>0</v>
      </c>
    </row>
    <row r="32" spans="1:7" x14ac:dyDescent="0.2">
      <c r="A32" s="27" t="s">
        <v>23</v>
      </c>
      <c r="B32" s="26"/>
      <c r="C32" s="26"/>
      <c r="D32" s="28">
        <f>mai!D32</f>
        <v>0</v>
      </c>
      <c r="E32" s="26"/>
      <c r="F32" s="43">
        <f>mai!G32</f>
        <v>0</v>
      </c>
      <c r="G32" s="64">
        <f t="shared" si="0"/>
        <v>0</v>
      </c>
    </row>
    <row r="33" spans="1:7" ht="12.75" thickBot="1" x14ac:dyDescent="0.25">
      <c r="A33" s="29" t="s">
        <v>24</v>
      </c>
      <c r="B33" s="30"/>
      <c r="C33" s="30"/>
      <c r="D33" s="31">
        <f>mai!D33</f>
        <v>0</v>
      </c>
      <c r="E33" s="26"/>
      <c r="F33" s="46">
        <f>mai!G33</f>
        <v>0</v>
      </c>
      <c r="G33" s="65">
        <f t="shared" si="0"/>
        <v>0</v>
      </c>
    </row>
    <row r="34" spans="1:7" ht="12.75" thickBot="1" x14ac:dyDescent="0.25">
      <c r="A34" s="11"/>
      <c r="B34" s="26"/>
      <c r="C34" s="26"/>
      <c r="D34" s="26"/>
      <c r="E34" s="26"/>
      <c r="F34" s="26"/>
      <c r="G34" s="68"/>
    </row>
    <row r="35" spans="1:7" ht="12.75" thickBot="1" x14ac:dyDescent="0.25">
      <c r="A35" s="100" t="s">
        <v>25</v>
      </c>
      <c r="B35" s="100"/>
      <c r="C35" s="100"/>
      <c r="D35" s="44">
        <f>D20-D23-D24-D25-D30-D31-D32-D33</f>
        <v>2885.8938000000007</v>
      </c>
      <c r="E35" s="33"/>
      <c r="F35" s="34">
        <f>mai!G35</f>
        <v>14148.209099999998</v>
      </c>
      <c r="G35" s="62">
        <f t="shared" si="0"/>
        <v>17034.102899999998</v>
      </c>
    </row>
    <row r="36" spans="1:7" ht="12.75" thickBot="1" x14ac:dyDescent="0.25">
      <c r="A36" s="9"/>
      <c r="B36" s="26"/>
      <c r="C36" s="26"/>
      <c r="D36" s="33"/>
      <c r="E36" s="33"/>
      <c r="F36" s="26"/>
      <c r="G36" s="68"/>
    </row>
    <row r="37" spans="1:7" x14ac:dyDescent="0.2">
      <c r="A37" s="47" t="s">
        <v>26</v>
      </c>
      <c r="B37" s="24"/>
      <c r="C37" s="24"/>
      <c r="D37" s="25">
        <v>240.6</v>
      </c>
      <c r="E37" s="26"/>
      <c r="F37" s="42">
        <f>mai!G37</f>
        <v>1141.8</v>
      </c>
      <c r="G37" s="63">
        <f t="shared" si="0"/>
        <v>1382.3999999999999</v>
      </c>
    </row>
    <row r="38" spans="1:7" x14ac:dyDescent="0.2">
      <c r="A38" s="72" t="s">
        <v>44</v>
      </c>
      <c r="B38" s="26"/>
      <c r="C38" s="26"/>
      <c r="D38" s="28">
        <f>IF(D20&lt;1800,0,IF(D20&lt;=3000,81,IF(D20&gt;=3600,0,81/600*(3600-D20))))</f>
        <v>48.005999999999929</v>
      </c>
      <c r="E38" s="26"/>
      <c r="F38" s="43">
        <f>mai!G38</f>
        <v>290.68700000000001</v>
      </c>
      <c r="G38" s="64">
        <f t="shared" si="0"/>
        <v>338.69299999999993</v>
      </c>
    </row>
    <row r="39" spans="1:7" x14ac:dyDescent="0.2">
      <c r="A39" s="27" t="s">
        <v>27</v>
      </c>
      <c r="B39" s="26"/>
      <c r="C39" s="26"/>
      <c r="D39" s="28">
        <f>IF(D20&lt;78,0,IF(D20&lt;936,((300+(D20*12-936)*0.029)/12),IF(D20&lt;3333.33,50,IF(D20&gt;6666.5,0,((600-(D20*12-40000)*0.015)/12)))))</f>
        <v>50</v>
      </c>
      <c r="E39" s="26"/>
      <c r="F39" s="43">
        <f>mai!G39</f>
        <v>250</v>
      </c>
      <c r="G39" s="64">
        <f>F39+D39</f>
        <v>300</v>
      </c>
    </row>
    <row r="40" spans="1:7" ht="12.75" thickBot="1" x14ac:dyDescent="0.25">
      <c r="A40" s="29" t="s">
        <v>58</v>
      </c>
      <c r="B40" s="30"/>
      <c r="C40" s="30"/>
      <c r="D40" s="31">
        <f>IF(D20&lt;78,0,IF(D20&lt;3333.33,16,IF(D20&lt;6667,((16-(D20-3333.33)*0.0042)),0)))</f>
        <v>16</v>
      </c>
      <c r="E40" s="81"/>
      <c r="F40" s="46">
        <f>mai!G40</f>
        <v>82</v>
      </c>
      <c r="G40" s="65">
        <f>F40+D40</f>
        <v>98</v>
      </c>
    </row>
    <row r="41" spans="1:7" ht="12.75" thickBot="1" x14ac:dyDescent="0.25">
      <c r="A41" s="11"/>
      <c r="B41" s="26"/>
      <c r="C41" s="26"/>
      <c r="D41" s="22"/>
      <c r="E41" s="22"/>
      <c r="F41" s="26"/>
      <c r="G41" s="68"/>
    </row>
    <row r="42" spans="1:7" ht="12.75" thickBot="1" x14ac:dyDescent="0.25">
      <c r="A42" s="100" t="s">
        <v>28</v>
      </c>
      <c r="B42" s="100"/>
      <c r="C42" s="100"/>
      <c r="D42" s="48">
        <f>D20-D27-D37+D38+D39+D40</f>
        <v>2723.3412200000002</v>
      </c>
      <c r="E42" s="26"/>
      <c r="F42" s="34">
        <f>mai!G42</f>
        <v>13442.134879999998</v>
      </c>
      <c r="G42" s="62">
        <f>F42+D42</f>
        <v>16165.476099999998</v>
      </c>
    </row>
    <row r="43" spans="1:7" ht="12.75" thickBot="1" x14ac:dyDescent="0.25">
      <c r="A43" s="100" t="s">
        <v>60</v>
      </c>
      <c r="B43" s="100"/>
      <c r="C43" s="100"/>
      <c r="D43" s="48">
        <v>56</v>
      </c>
      <c r="E43" s="11"/>
      <c r="F43" s="11" t="s">
        <v>29</v>
      </c>
      <c r="G43" s="68"/>
    </row>
    <row r="44" spans="1:7" ht="12.75" thickBot="1" x14ac:dyDescent="0.25">
      <c r="A44" s="98" t="s">
        <v>61</v>
      </c>
      <c r="B44" s="99"/>
      <c r="C44" s="99"/>
      <c r="D44" s="83">
        <v>1000</v>
      </c>
      <c r="E44" s="11"/>
      <c r="F44" s="69" t="s">
        <v>30</v>
      </c>
      <c r="G44" s="62">
        <f>D42-D43-D44</f>
        <v>1667.3412200000002</v>
      </c>
    </row>
    <row r="45" spans="1:7" ht="12.75" thickBot="1" x14ac:dyDescent="0.25">
      <c r="A45" s="11"/>
      <c r="B45" s="11"/>
      <c r="C45" s="11"/>
      <c r="D45" s="11"/>
      <c r="E45" s="11"/>
      <c r="F45" s="9"/>
      <c r="G45" s="6"/>
    </row>
    <row r="46" spans="1:7" ht="12.75" thickBot="1" x14ac:dyDescent="0.25">
      <c r="A46" s="50" t="s">
        <v>31</v>
      </c>
      <c r="B46" s="11"/>
      <c r="C46" s="38"/>
      <c r="D46" s="38"/>
      <c r="E46" s="38"/>
      <c r="F46" s="38"/>
      <c r="G46" s="6"/>
    </row>
    <row r="47" spans="1:7" ht="12.75" thickBot="1" x14ac:dyDescent="0.25">
      <c r="A47" s="51" t="s">
        <v>55</v>
      </c>
      <c r="B47" s="8">
        <f>mai!B47</f>
        <v>208</v>
      </c>
      <c r="C47" s="100" t="s">
        <v>32</v>
      </c>
      <c r="D47" s="101"/>
      <c r="E47" s="49"/>
      <c r="F47" s="88" t="s">
        <v>33</v>
      </c>
      <c r="G47" s="89"/>
    </row>
    <row r="48" spans="1:7" x14ac:dyDescent="0.2">
      <c r="A48" s="82" t="s">
        <v>56</v>
      </c>
      <c r="B48" s="8">
        <f>mai!B48</f>
        <v>-4</v>
      </c>
      <c r="C48" s="51" t="s">
        <v>34</v>
      </c>
      <c r="D48" s="52">
        <f>D49*D50</f>
        <v>3244.4000000000005</v>
      </c>
      <c r="E48" s="26"/>
      <c r="F48" s="53" t="s">
        <v>35</v>
      </c>
      <c r="G48" s="66" t="str">
        <f>mai!G48</f>
        <v>D608388-2022</v>
      </c>
    </row>
    <row r="49" spans="1:7" x14ac:dyDescent="0.2">
      <c r="A49" s="54" t="s">
        <v>36</v>
      </c>
      <c r="B49" s="8">
        <f>mai!B49+B18</f>
        <v>97</v>
      </c>
      <c r="C49" s="54" t="s">
        <v>37</v>
      </c>
      <c r="D49" s="55">
        <f>mai!D49</f>
        <v>173</v>
      </c>
      <c r="E49" s="26"/>
      <c r="F49" s="56" t="s">
        <v>38</v>
      </c>
      <c r="G49" s="57">
        <f>mai!G49</f>
        <v>1</v>
      </c>
    </row>
    <row r="50" spans="1:7" ht="12.75" thickBot="1" x14ac:dyDescent="0.25">
      <c r="A50" s="58" t="s">
        <v>39</v>
      </c>
      <c r="B50" s="8">
        <f>(B48+B47)-B49</f>
        <v>107</v>
      </c>
      <c r="C50" s="58" t="s">
        <v>40</v>
      </c>
      <c r="D50" s="59">
        <f>mai!D50</f>
        <v>18.753757225433528</v>
      </c>
      <c r="E50" s="26"/>
      <c r="F50" s="60" t="s">
        <v>41</v>
      </c>
      <c r="G50" s="74" t="str">
        <f>mai!G50</f>
        <v>-</v>
      </c>
    </row>
    <row r="51" spans="1:7" x14ac:dyDescent="0.2">
      <c r="A51" s="9"/>
      <c r="B51" s="8"/>
      <c r="C51" s="9"/>
      <c r="D51" s="26"/>
      <c r="E51" s="26"/>
      <c r="F51" s="11"/>
      <c r="G51" s="6"/>
    </row>
    <row r="52" spans="1:7" x14ac:dyDescent="0.2">
      <c r="A52" s="90" t="s">
        <v>42</v>
      </c>
      <c r="B52" s="90"/>
      <c r="C52" s="90"/>
      <c r="D52" s="90"/>
      <c r="E52" s="11"/>
      <c r="F52" s="11"/>
      <c r="G52" s="6"/>
    </row>
    <row r="57" spans="1:7" ht="15" x14ac:dyDescent="0.25">
      <c r="B57"/>
    </row>
  </sheetData>
  <mergeCells count="17">
    <mergeCell ref="F10:G10"/>
    <mergeCell ref="A2:G2"/>
    <mergeCell ref="F5:G5"/>
    <mergeCell ref="F6:G6"/>
    <mergeCell ref="F7:G7"/>
    <mergeCell ref="F9:G9"/>
    <mergeCell ref="F47:G47"/>
    <mergeCell ref="A52:D52"/>
    <mergeCell ref="F11:G11"/>
    <mergeCell ref="A12:D12"/>
    <mergeCell ref="A20:C20"/>
    <mergeCell ref="A27:C27"/>
    <mergeCell ref="A35:C35"/>
    <mergeCell ref="A42:C42"/>
    <mergeCell ref="C47:D47"/>
    <mergeCell ref="A43:C43"/>
    <mergeCell ref="A44:C44"/>
  </mergeCells>
  <pageMargins left="0.7" right="0.7" top="0.75" bottom="0.75" header="0.3" footer="0.3"/>
  <pageSetup paperSize="9" orientation="portrait" r:id="rId1"/>
  <headerFooter>
    <oddFooter>&amp;LGroupe Advensys Luxembourg S.A
contact@advensys-conseil.lu&amp;C
Grand rue 34
L-9710 Clervaux&amp;R+352 28 79 76 26       
+352 661 11 22 60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A0A81-DDE0-4251-A50B-A6BFE027DB92}">
  <sheetPr codeName="Feuil7"/>
  <dimension ref="A1:H60"/>
  <sheetViews>
    <sheetView topLeftCell="A16" zoomScaleNormal="100" workbookViewId="0">
      <selection activeCell="G46" sqref="G46"/>
    </sheetView>
  </sheetViews>
  <sheetFormatPr baseColWidth="10" defaultColWidth="11.42578125" defaultRowHeight="12" x14ac:dyDescent="0.2"/>
  <cols>
    <col min="1" max="1" width="20.140625" style="1" bestFit="1" customWidth="1"/>
    <col min="2" max="2" width="10.42578125" style="1" customWidth="1"/>
    <col min="3" max="3" width="15" style="1" customWidth="1"/>
    <col min="4" max="4" width="8.7109375" style="1" customWidth="1"/>
    <col min="5" max="5" width="5" style="1" customWidth="1"/>
    <col min="6" max="6" width="13.85546875" style="1" customWidth="1"/>
    <col min="7" max="7" width="14.28515625" style="1" customWidth="1"/>
    <col min="8" max="16384" width="11.42578125" style="1"/>
  </cols>
  <sheetData>
    <row r="1" spans="1:8" ht="12.75" thickBot="1" x14ac:dyDescent="0.25"/>
    <row r="2" spans="1:8" ht="15.75" thickBot="1" x14ac:dyDescent="0.3">
      <c r="A2" s="85" t="s">
        <v>45</v>
      </c>
      <c r="B2" s="86"/>
      <c r="C2" s="86"/>
      <c r="D2" s="86"/>
      <c r="E2" s="86"/>
      <c r="F2" s="86"/>
      <c r="G2" s="87"/>
      <c r="H2" s="2"/>
    </row>
    <row r="4" spans="1:8" ht="12.75" thickBot="1" x14ac:dyDescent="0.25"/>
    <row r="5" spans="1:8" x14ac:dyDescent="0.2">
      <c r="A5" s="3" t="s">
        <v>0</v>
      </c>
      <c r="B5" s="61">
        <f>juin!B5</f>
        <v>2</v>
      </c>
      <c r="C5" s="4"/>
      <c r="D5" s="5"/>
      <c r="E5" s="6"/>
      <c r="F5" s="91" t="str">
        <f>juin!F5</f>
        <v>Groupe Advensys Luxembourg S.A</v>
      </c>
      <c r="G5" s="92"/>
    </row>
    <row r="6" spans="1:8" x14ac:dyDescent="0.2">
      <c r="A6" s="7" t="s">
        <v>1</v>
      </c>
      <c r="B6" s="67" t="str">
        <f>juin!B6</f>
        <v>968,04</v>
      </c>
      <c r="C6" s="9"/>
      <c r="D6" s="10"/>
      <c r="E6" s="6"/>
      <c r="F6" s="93" t="str">
        <f>juin!F6</f>
        <v>Duarrefstrooss 49</v>
      </c>
      <c r="G6" s="94"/>
    </row>
    <row r="7" spans="1:8" ht="12.75" thickBot="1" x14ac:dyDescent="0.25">
      <c r="A7" s="7" t="s">
        <v>2</v>
      </c>
      <c r="B7" s="67" t="str">
        <f>juin!B7</f>
        <v xml:space="preserve">Comptable </v>
      </c>
      <c r="C7" s="9"/>
      <c r="D7" s="10"/>
      <c r="E7" s="6"/>
      <c r="F7" s="95" t="str">
        <f>juin!F7</f>
        <v>L-9964 Huldange</v>
      </c>
      <c r="G7" s="96"/>
    </row>
    <row r="8" spans="1:8" ht="12.75" thickBot="1" x14ac:dyDescent="0.25">
      <c r="A8" s="7" t="s">
        <v>3</v>
      </c>
      <c r="B8" s="73">
        <f>juin!B8</f>
        <v>44455</v>
      </c>
      <c r="C8" s="9"/>
      <c r="D8" s="10"/>
      <c r="E8" s="6"/>
      <c r="F8" s="67"/>
      <c r="G8" s="12"/>
    </row>
    <row r="9" spans="1:8" x14ac:dyDescent="0.2">
      <c r="A9" s="7" t="s">
        <v>4</v>
      </c>
      <c r="B9" s="67" t="str">
        <f>juin!B9</f>
        <v>1996 0905 124 86</v>
      </c>
      <c r="C9" s="9"/>
      <c r="D9" s="10"/>
      <c r="E9" s="6"/>
      <c r="F9" s="91" t="str">
        <f>juin!F9</f>
        <v>BERTHE Alexandra</v>
      </c>
      <c r="G9" s="92"/>
    </row>
    <row r="10" spans="1:8" x14ac:dyDescent="0.2">
      <c r="A10" s="7" t="s">
        <v>5</v>
      </c>
      <c r="B10" s="67">
        <f>juin!B10</f>
        <v>20152206748</v>
      </c>
      <c r="C10" s="9"/>
      <c r="D10" s="10"/>
      <c r="E10" s="6"/>
      <c r="F10" s="93" t="str">
        <f>juin!F10</f>
        <v>93, Duarrefstrooss</v>
      </c>
      <c r="G10" s="94"/>
    </row>
    <row r="11" spans="1:8" ht="12.75" thickBot="1" x14ac:dyDescent="0.25">
      <c r="A11" s="13" t="s">
        <v>6</v>
      </c>
      <c r="B11" s="14" t="s">
        <v>68</v>
      </c>
      <c r="C11" s="15"/>
      <c r="D11" s="16"/>
      <c r="E11" s="6"/>
      <c r="F11" s="95" t="str">
        <f>juin!F11</f>
        <v>L-9964 Huldange</v>
      </c>
      <c r="G11" s="96"/>
    </row>
    <row r="12" spans="1:8" x14ac:dyDescent="0.2">
      <c r="A12" s="97" t="s">
        <v>7</v>
      </c>
      <c r="B12" s="97"/>
      <c r="C12" s="97"/>
      <c r="D12" s="97"/>
      <c r="E12" s="6"/>
      <c r="F12" s="6"/>
      <c r="G12" s="6"/>
    </row>
    <row r="13" spans="1:8" ht="12.75" thickBot="1" x14ac:dyDescent="0.25">
      <c r="A13" s="6"/>
      <c r="B13" s="6"/>
      <c r="C13" s="6"/>
      <c r="D13" s="6"/>
      <c r="E13" s="6"/>
      <c r="F13" s="6"/>
      <c r="G13" s="6"/>
    </row>
    <row r="14" spans="1:8" ht="23.25" thickBot="1" x14ac:dyDescent="0.25">
      <c r="A14" s="21" t="s">
        <v>8</v>
      </c>
      <c r="B14" s="17" t="s">
        <v>46</v>
      </c>
      <c r="C14" s="18" t="s">
        <v>9</v>
      </c>
      <c r="D14" s="19" t="s">
        <v>10</v>
      </c>
      <c r="E14" s="20"/>
      <c r="F14" s="21" t="s">
        <v>11</v>
      </c>
      <c r="G14" s="70" t="s">
        <v>10</v>
      </c>
    </row>
    <row r="15" spans="1:8" ht="12.75" thickBot="1" x14ac:dyDescent="0.25">
      <c r="A15" s="11"/>
      <c r="B15" s="22"/>
      <c r="C15" s="22"/>
      <c r="D15" s="22"/>
      <c r="E15" s="22"/>
      <c r="F15" s="22"/>
      <c r="G15" s="6"/>
    </row>
    <row r="16" spans="1:8" x14ac:dyDescent="0.2">
      <c r="A16" s="23" t="s">
        <v>12</v>
      </c>
      <c r="B16" s="24">
        <f>D52</f>
        <v>173</v>
      </c>
      <c r="C16" s="24">
        <f>D53</f>
        <v>18.753757225433528</v>
      </c>
      <c r="D16" s="25">
        <f>B16*C16</f>
        <v>3244.4000000000005</v>
      </c>
      <c r="E16" s="26"/>
      <c r="F16" s="26"/>
      <c r="G16" s="6"/>
    </row>
    <row r="17" spans="1:7" x14ac:dyDescent="0.2">
      <c r="A17" s="27" t="s">
        <v>43</v>
      </c>
      <c r="B17" s="26">
        <v>0</v>
      </c>
      <c r="C17" s="26">
        <v>0</v>
      </c>
      <c r="D17" s="28">
        <v>0</v>
      </c>
      <c r="E17" s="26"/>
      <c r="F17" s="26"/>
      <c r="G17" s="6"/>
    </row>
    <row r="18" spans="1:7" ht="12.75" thickBot="1" x14ac:dyDescent="0.25">
      <c r="A18" s="27" t="s">
        <v>31</v>
      </c>
      <c r="B18" s="26">
        <v>0</v>
      </c>
      <c r="C18" s="26">
        <v>0</v>
      </c>
      <c r="D18" s="28">
        <v>0</v>
      </c>
      <c r="E18" s="26"/>
      <c r="F18" s="26"/>
      <c r="G18" s="6"/>
    </row>
    <row r="19" spans="1:7" ht="12.75" thickBot="1" x14ac:dyDescent="0.25">
      <c r="A19" s="27" t="s">
        <v>69</v>
      </c>
      <c r="B19" s="26">
        <v>19.420000000000002</v>
      </c>
      <c r="C19" s="26">
        <f>C16</f>
        <v>18.753757225433528</v>
      </c>
      <c r="D19" s="28">
        <f>B19*C19</f>
        <v>364.19796531791917</v>
      </c>
      <c r="E19" s="26"/>
      <c r="F19" s="34">
        <f>juin!G17</f>
        <v>0</v>
      </c>
      <c r="G19" s="62">
        <f>F19+D19+D20</f>
        <v>509.87715144508684</v>
      </c>
    </row>
    <row r="20" spans="1:7" x14ac:dyDescent="0.2">
      <c r="A20" s="27" t="s">
        <v>70</v>
      </c>
      <c r="B20" s="26">
        <v>19.420000000000002</v>
      </c>
      <c r="C20" s="26">
        <f>C19*0.4</f>
        <v>7.5015028901734118</v>
      </c>
      <c r="D20" s="28">
        <f>C20*B20</f>
        <v>145.67918612716767</v>
      </c>
      <c r="E20" s="26"/>
      <c r="F20" s="26"/>
      <c r="G20" s="6"/>
    </row>
    <row r="21" spans="1:7" ht="12.75" thickBot="1" x14ac:dyDescent="0.25">
      <c r="A21" s="29" t="s">
        <v>48</v>
      </c>
      <c r="B21" s="30">
        <v>0</v>
      </c>
      <c r="C21" s="30">
        <v>0</v>
      </c>
      <c r="D21" s="31">
        <v>0</v>
      </c>
      <c r="E21" s="26"/>
      <c r="F21" s="26"/>
      <c r="G21" s="6"/>
    </row>
    <row r="22" spans="1:7" ht="12.75" thickBot="1" x14ac:dyDescent="0.25">
      <c r="A22" s="102" t="s">
        <v>13</v>
      </c>
      <c r="B22" s="102"/>
      <c r="C22" s="102"/>
      <c r="D22" s="32">
        <f>D16</f>
        <v>3244.4000000000005</v>
      </c>
      <c r="E22" s="33"/>
      <c r="F22" s="42">
        <f>juin!G20</f>
        <v>19150.2</v>
      </c>
      <c r="G22" s="62">
        <f>F22+D22</f>
        <v>22394.600000000002</v>
      </c>
    </row>
    <row r="23" spans="1:7" ht="12.75" thickBot="1" x14ac:dyDescent="0.25">
      <c r="A23" s="9"/>
      <c r="B23" s="26"/>
      <c r="C23" s="26"/>
      <c r="D23" s="33"/>
      <c r="E23" s="33"/>
      <c r="F23" s="24"/>
      <c r="G23" s="68"/>
    </row>
    <row r="24" spans="1:7" ht="12.75" thickBot="1" x14ac:dyDescent="0.25">
      <c r="A24" s="35" t="s">
        <v>14</v>
      </c>
      <c r="B24" s="36"/>
      <c r="C24" s="36"/>
      <c r="D24" s="37"/>
      <c r="E24" s="9"/>
      <c r="F24" s="26"/>
      <c r="G24" s="68"/>
    </row>
    <row r="25" spans="1:7" x14ac:dyDescent="0.2">
      <c r="A25" s="39" t="s">
        <v>15</v>
      </c>
      <c r="B25" s="40">
        <f>juin!B23</f>
        <v>2.8000000000000001E-2</v>
      </c>
      <c r="C25" s="26"/>
      <c r="D25" s="41">
        <f>(D19+D22)*B25</f>
        <v>101.04074302890176</v>
      </c>
      <c r="E25" s="26"/>
      <c r="F25" s="42">
        <f>juin!G23</f>
        <v>536.2056</v>
      </c>
      <c r="G25" s="63">
        <f>F25+D25</f>
        <v>637.24634302890172</v>
      </c>
    </row>
    <row r="26" spans="1:7" x14ac:dyDescent="0.2">
      <c r="A26" s="39" t="s">
        <v>16</v>
      </c>
      <c r="B26" s="40">
        <f>juin!B24</f>
        <v>2.5000000000000001E-3</v>
      </c>
      <c r="C26" s="26"/>
      <c r="D26" s="41">
        <f>B26*D22</f>
        <v>8.1110000000000007</v>
      </c>
      <c r="E26" s="26"/>
      <c r="F26" s="43">
        <f>juin!G24</f>
        <v>47.875500000000002</v>
      </c>
      <c r="G26" s="64">
        <f t="shared" ref="G26:G40" si="0">F26+D26</f>
        <v>55.986500000000007</v>
      </c>
    </row>
    <row r="27" spans="1:7" x14ac:dyDescent="0.2">
      <c r="A27" s="39" t="s">
        <v>17</v>
      </c>
      <c r="B27" s="40">
        <f>juin!B25</f>
        <v>0.08</v>
      </c>
      <c r="C27" s="26"/>
      <c r="D27" s="41">
        <f>B27*D22</f>
        <v>259.55200000000002</v>
      </c>
      <c r="E27" s="26"/>
      <c r="F27" s="43">
        <f>juin!G25</f>
        <v>1532.0160000000001</v>
      </c>
      <c r="G27" s="64">
        <f t="shared" si="0"/>
        <v>1791.5680000000002</v>
      </c>
    </row>
    <row r="28" spans="1:7" ht="12.75" thickBot="1" x14ac:dyDescent="0.25">
      <c r="A28" s="39" t="s">
        <v>18</v>
      </c>
      <c r="B28" s="40">
        <f>juin!B26</f>
        <v>1.4E-2</v>
      </c>
      <c r="C28" s="26"/>
      <c r="D28" s="41">
        <f>B28*(D19+D22-675.93)</f>
        <v>41.057351514450879</v>
      </c>
      <c r="E28" s="26"/>
      <c r="F28" s="46">
        <f>juin!G26</f>
        <v>212.94980000000001</v>
      </c>
      <c r="G28" s="64">
        <f t="shared" si="0"/>
        <v>254.0071515144509</v>
      </c>
    </row>
    <row r="29" spans="1:7" ht="12.75" thickBot="1" x14ac:dyDescent="0.25">
      <c r="A29" s="100" t="s">
        <v>19</v>
      </c>
      <c r="B29" s="100"/>
      <c r="C29" s="100"/>
      <c r="D29" s="44">
        <f>SUM(D25:D28)</f>
        <v>409.76109454335267</v>
      </c>
      <c r="E29" s="33"/>
      <c r="F29" s="34">
        <f>juin!G27</f>
        <v>2329.0469000000003</v>
      </c>
      <c r="G29" s="62">
        <f t="shared" si="0"/>
        <v>2738.8079945433528</v>
      </c>
    </row>
    <row r="30" spans="1:7" ht="12.75" thickBot="1" x14ac:dyDescent="0.25">
      <c r="A30" s="9"/>
      <c r="B30" s="40"/>
      <c r="C30" s="26"/>
      <c r="D30" s="33"/>
      <c r="E30" s="33"/>
      <c r="F30" s="26"/>
      <c r="G30" s="68"/>
    </row>
    <row r="31" spans="1:7" ht="12.75" thickBot="1" x14ac:dyDescent="0.25">
      <c r="A31" s="23" t="s">
        <v>20</v>
      </c>
      <c r="B31" s="24"/>
      <c r="C31" s="24"/>
      <c r="D31" s="45"/>
      <c r="E31" s="33"/>
      <c r="F31" s="26"/>
      <c r="G31" s="71"/>
    </row>
    <row r="32" spans="1:7" x14ac:dyDescent="0.2">
      <c r="A32" s="27" t="s">
        <v>21</v>
      </c>
      <c r="B32" s="26"/>
      <c r="C32" s="26"/>
      <c r="D32" s="28">
        <f>juin!D30</f>
        <v>0</v>
      </c>
      <c r="E32" s="26"/>
      <c r="F32" s="42">
        <f>juin!G30</f>
        <v>0</v>
      </c>
      <c r="G32" s="64">
        <f>F32+D32</f>
        <v>0</v>
      </c>
    </row>
    <row r="33" spans="1:7" x14ac:dyDescent="0.2">
      <c r="A33" s="27" t="s">
        <v>22</v>
      </c>
      <c r="B33" s="26"/>
      <c r="C33" s="26"/>
      <c r="D33" s="28">
        <f>juin!D31</f>
        <v>0</v>
      </c>
      <c r="E33" s="26"/>
      <c r="F33" s="43">
        <f>juin!G31</f>
        <v>0</v>
      </c>
      <c r="G33" s="64">
        <f t="shared" si="0"/>
        <v>0</v>
      </c>
    </row>
    <row r="34" spans="1:7" x14ac:dyDescent="0.2">
      <c r="A34" s="27" t="s">
        <v>23</v>
      </c>
      <c r="B34" s="26"/>
      <c r="C34" s="26"/>
      <c r="D34" s="28">
        <f>juin!D32</f>
        <v>0</v>
      </c>
      <c r="E34" s="26"/>
      <c r="F34" s="43">
        <f>juin!G32</f>
        <v>0</v>
      </c>
      <c r="G34" s="64">
        <f t="shared" si="0"/>
        <v>0</v>
      </c>
    </row>
    <row r="35" spans="1:7" ht="12.75" thickBot="1" x14ac:dyDescent="0.25">
      <c r="A35" s="29" t="s">
        <v>24</v>
      </c>
      <c r="B35" s="30"/>
      <c r="C35" s="30"/>
      <c r="D35" s="31">
        <f>juin!D33</f>
        <v>0</v>
      </c>
      <c r="E35" s="26"/>
      <c r="F35" s="46">
        <f>juin!G33</f>
        <v>0</v>
      </c>
      <c r="G35" s="65">
        <f t="shared" si="0"/>
        <v>0</v>
      </c>
    </row>
    <row r="36" spans="1:7" ht="12.75" thickBot="1" x14ac:dyDescent="0.25">
      <c r="A36" s="11"/>
      <c r="B36" s="26"/>
      <c r="C36" s="26"/>
      <c r="D36" s="26"/>
      <c r="E36" s="26"/>
      <c r="F36" s="26"/>
      <c r="G36" s="68"/>
    </row>
    <row r="37" spans="1:7" ht="12.75" thickBot="1" x14ac:dyDescent="0.25">
      <c r="A37" s="100" t="s">
        <v>25</v>
      </c>
      <c r="B37" s="100"/>
      <c r="C37" s="100"/>
      <c r="D37" s="44">
        <f>D22-D25-D26-D27-D32-D33-D34-D35</f>
        <v>2875.6962569710986</v>
      </c>
      <c r="E37" s="33"/>
      <c r="F37" s="34">
        <f>juin!G35</f>
        <v>17034.102899999998</v>
      </c>
      <c r="G37" s="62">
        <f t="shared" si="0"/>
        <v>19909.799156971098</v>
      </c>
    </row>
    <row r="38" spans="1:7" ht="12.75" thickBot="1" x14ac:dyDescent="0.25">
      <c r="A38" s="9"/>
      <c r="B38" s="26"/>
      <c r="C38" s="26"/>
      <c r="D38" s="33"/>
      <c r="E38" s="33"/>
      <c r="F38" s="26"/>
      <c r="G38" s="68"/>
    </row>
    <row r="39" spans="1:7" x14ac:dyDescent="0.2">
      <c r="A39" s="47" t="s">
        <v>26</v>
      </c>
      <c r="B39" s="24"/>
      <c r="C39" s="24"/>
      <c r="D39" s="25">
        <v>240.6</v>
      </c>
      <c r="E39" s="26"/>
      <c r="F39" s="42">
        <f>juin!G37</f>
        <v>1382.3999999999999</v>
      </c>
      <c r="G39" s="63">
        <f t="shared" si="0"/>
        <v>1622.9999999999998</v>
      </c>
    </row>
    <row r="40" spans="1:7" x14ac:dyDescent="0.2">
      <c r="A40" s="72" t="s">
        <v>44</v>
      </c>
      <c r="B40" s="26"/>
      <c r="C40" s="26"/>
      <c r="D40" s="28">
        <f>IF(D22&lt;1800,0,IF(D22&lt;=3000,81,IF(D22&gt;=3600,0,81/600*(3600-D22))))</f>
        <v>48.005999999999929</v>
      </c>
      <c r="E40" s="26"/>
      <c r="F40" s="43">
        <f>juin!G38</f>
        <v>338.69299999999993</v>
      </c>
      <c r="G40" s="64">
        <f t="shared" si="0"/>
        <v>386.69899999999984</v>
      </c>
    </row>
    <row r="41" spans="1:7" x14ac:dyDescent="0.2">
      <c r="A41" s="27" t="s">
        <v>27</v>
      </c>
      <c r="B41" s="26"/>
      <c r="C41" s="26"/>
      <c r="D41" s="28">
        <f>IF(D22&lt;78,0,IF(D22&lt;936,((300+(D22*12-936)*0.029)/12),IF(D22&lt;3333.33,50,IF(D22&gt;6666.5,0,((600-(D22*12-40000)*0.015)/12)))))</f>
        <v>50</v>
      </c>
      <c r="E41" s="26"/>
      <c r="F41" s="43">
        <f>juin!G39</f>
        <v>300</v>
      </c>
      <c r="G41" s="64">
        <f>F41+D41</f>
        <v>350</v>
      </c>
    </row>
    <row r="42" spans="1:7" ht="12.75" thickBot="1" x14ac:dyDescent="0.25">
      <c r="A42" s="29" t="s">
        <v>58</v>
      </c>
      <c r="B42" s="30"/>
      <c r="C42" s="30"/>
      <c r="D42" s="31">
        <f>IF(D22&lt;78,0,IF(D22&lt;3333.33,16,IF(D22&lt;6667,((16-(D22-3333.33)*0.0042)),0)))</f>
        <v>16</v>
      </c>
      <c r="E42" s="81"/>
      <c r="F42" s="46">
        <f>juin!G40</f>
        <v>98</v>
      </c>
      <c r="G42" s="65">
        <f>F42+D42</f>
        <v>114</v>
      </c>
    </row>
    <row r="43" spans="1:7" ht="12.75" thickBot="1" x14ac:dyDescent="0.25">
      <c r="A43" s="11"/>
      <c r="B43" s="26"/>
      <c r="C43" s="26"/>
      <c r="D43" s="22"/>
      <c r="E43" s="22"/>
      <c r="F43" s="26"/>
      <c r="G43" s="68"/>
    </row>
    <row r="44" spans="1:7" ht="12.75" thickBot="1" x14ac:dyDescent="0.25">
      <c r="A44" s="100" t="s">
        <v>28</v>
      </c>
      <c r="B44" s="100"/>
      <c r="C44" s="100"/>
      <c r="D44" s="48">
        <f>D22-D29-D39+D40+D41+D42+D19+D20</f>
        <v>3217.9220569017348</v>
      </c>
      <c r="E44" s="26"/>
      <c r="F44" s="34">
        <f>juin!G42</f>
        <v>16165.476099999998</v>
      </c>
      <c r="G44" s="62">
        <f>F44+D44</f>
        <v>19383.398156901734</v>
      </c>
    </row>
    <row r="45" spans="1:7" ht="12.75" thickBot="1" x14ac:dyDescent="0.25">
      <c r="A45" s="100" t="s">
        <v>60</v>
      </c>
      <c r="B45" s="100"/>
      <c r="C45" s="100"/>
      <c r="D45" s="48">
        <v>56</v>
      </c>
      <c r="E45" s="11"/>
      <c r="F45" s="11" t="s">
        <v>29</v>
      </c>
      <c r="G45" s="68"/>
    </row>
    <row r="46" spans="1:7" ht="12.75" thickBot="1" x14ac:dyDescent="0.25">
      <c r="A46" s="98" t="s">
        <v>61</v>
      </c>
      <c r="B46" s="99"/>
      <c r="C46" s="99"/>
      <c r="D46" s="83">
        <v>1400</v>
      </c>
      <c r="E46" s="11"/>
      <c r="F46" s="69" t="s">
        <v>30</v>
      </c>
      <c r="G46" s="62">
        <f>D44-D45-D46+D47</f>
        <v>2463.622056901735</v>
      </c>
    </row>
    <row r="47" spans="1:7" ht="12.75" thickBot="1" x14ac:dyDescent="0.25">
      <c r="A47" s="98" t="s">
        <v>72</v>
      </c>
      <c r="B47" s="99"/>
      <c r="C47" s="99"/>
      <c r="D47" s="83">
        <v>701.7</v>
      </c>
      <c r="E47" s="11"/>
      <c r="F47" s="9"/>
      <c r="G47" s="68"/>
    </row>
    <row r="48" spans="1:7" ht="12.75" thickBot="1" x14ac:dyDescent="0.25">
      <c r="A48" s="11"/>
      <c r="B48" s="11"/>
      <c r="C48" s="11"/>
      <c r="D48" s="11"/>
      <c r="E48" s="11"/>
      <c r="F48" s="9"/>
      <c r="G48" s="6"/>
    </row>
    <row r="49" spans="1:7" ht="12.75" thickBot="1" x14ac:dyDescent="0.25">
      <c r="A49" s="50" t="s">
        <v>31</v>
      </c>
      <c r="B49" s="11"/>
      <c r="C49" s="38"/>
      <c r="D49" s="38"/>
      <c r="E49" s="38"/>
      <c r="F49" s="38"/>
      <c r="G49" s="6"/>
    </row>
    <row r="50" spans="1:7" ht="12.75" thickBot="1" x14ac:dyDescent="0.25">
      <c r="A50" s="51" t="s">
        <v>55</v>
      </c>
      <c r="B50" s="8">
        <f>+juin!B47</f>
        <v>208</v>
      </c>
      <c r="C50" s="100" t="s">
        <v>32</v>
      </c>
      <c r="D50" s="101"/>
      <c r="E50" s="49"/>
      <c r="F50" s="88" t="s">
        <v>33</v>
      </c>
      <c r="G50" s="89"/>
    </row>
    <row r="51" spans="1:7" x14ac:dyDescent="0.2">
      <c r="A51" s="82" t="s">
        <v>56</v>
      </c>
      <c r="B51" s="8">
        <f>+juin!B48</f>
        <v>-4</v>
      </c>
      <c r="C51" s="51" t="s">
        <v>34</v>
      </c>
      <c r="D51" s="52">
        <f>D52*D53</f>
        <v>3244.4000000000005</v>
      </c>
      <c r="E51" s="26"/>
      <c r="F51" s="53" t="s">
        <v>35</v>
      </c>
      <c r="G51" s="66" t="str">
        <f>juin!G48</f>
        <v>D608388-2022</v>
      </c>
    </row>
    <row r="52" spans="1:7" x14ac:dyDescent="0.2">
      <c r="A52" s="54" t="s">
        <v>36</v>
      </c>
      <c r="B52" s="8">
        <f>juin!B49+B18</f>
        <v>97</v>
      </c>
      <c r="C52" s="54" t="s">
        <v>37</v>
      </c>
      <c r="D52" s="55">
        <f>juin!D49</f>
        <v>173</v>
      </c>
      <c r="E52" s="26"/>
      <c r="F52" s="56" t="s">
        <v>38</v>
      </c>
      <c r="G52" s="57">
        <f>+juin!G49</f>
        <v>1</v>
      </c>
    </row>
    <row r="53" spans="1:7" ht="12.75" thickBot="1" x14ac:dyDescent="0.25">
      <c r="A53" s="58" t="s">
        <v>39</v>
      </c>
      <c r="B53" s="8">
        <f>(B51+B50)-B52</f>
        <v>107</v>
      </c>
      <c r="C53" s="58" t="s">
        <v>40</v>
      </c>
      <c r="D53" s="59">
        <f>juin!D50</f>
        <v>18.753757225433528</v>
      </c>
      <c r="E53" s="26"/>
      <c r="F53" s="60" t="s">
        <v>41</v>
      </c>
      <c r="G53" s="74" t="str">
        <f>juin!G50</f>
        <v>-</v>
      </c>
    </row>
    <row r="54" spans="1:7" x14ac:dyDescent="0.2">
      <c r="A54" s="9"/>
      <c r="B54" s="8"/>
      <c r="C54" s="9"/>
      <c r="D54" s="26"/>
      <c r="E54" s="26"/>
      <c r="F54" s="11"/>
      <c r="G54" s="6"/>
    </row>
    <row r="55" spans="1:7" x14ac:dyDescent="0.2">
      <c r="A55" s="90" t="s">
        <v>42</v>
      </c>
      <c r="B55" s="90"/>
      <c r="C55" s="90"/>
      <c r="D55" s="90"/>
      <c r="E55" s="11"/>
      <c r="F55" s="11"/>
      <c r="G55" s="6"/>
    </row>
    <row r="60" spans="1:7" ht="15" x14ac:dyDescent="0.25">
      <c r="B60"/>
    </row>
  </sheetData>
  <mergeCells count="18">
    <mergeCell ref="F10:G10"/>
    <mergeCell ref="A2:G2"/>
    <mergeCell ref="F5:G5"/>
    <mergeCell ref="F6:G6"/>
    <mergeCell ref="F7:G7"/>
    <mergeCell ref="F9:G9"/>
    <mergeCell ref="F50:G50"/>
    <mergeCell ref="A55:D55"/>
    <mergeCell ref="F11:G11"/>
    <mergeCell ref="A12:D12"/>
    <mergeCell ref="A22:C22"/>
    <mergeCell ref="A29:C29"/>
    <mergeCell ref="A37:C37"/>
    <mergeCell ref="A44:C44"/>
    <mergeCell ref="C50:D50"/>
    <mergeCell ref="A45:C45"/>
    <mergeCell ref="A46:C46"/>
    <mergeCell ref="A47:C47"/>
  </mergeCells>
  <pageMargins left="0.7" right="0.7" top="0.75" bottom="0.75" header="0.3" footer="0.3"/>
  <pageSetup paperSize="9" orientation="portrait" r:id="rId1"/>
  <headerFooter>
    <oddFooter>&amp;LGroupe Advensys Luxembourg S.A
contact@advensys-conseil.lu&amp;C
Grand rue 34
L-9710 Clervaux&amp;R+352 28 79 76 26       
+352 661 11 22 60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79AA0-63A3-4F20-AD09-3E87B579F6A3}">
  <sheetPr codeName="Feuil8"/>
  <dimension ref="A1:H59"/>
  <sheetViews>
    <sheetView topLeftCell="A14" zoomScaleNormal="100" workbookViewId="0">
      <selection activeCell="D23" sqref="D23:D26"/>
    </sheetView>
  </sheetViews>
  <sheetFormatPr baseColWidth="10" defaultColWidth="11.42578125" defaultRowHeight="12" x14ac:dyDescent="0.2"/>
  <cols>
    <col min="1" max="1" width="20.140625" style="1" bestFit="1" customWidth="1"/>
    <col min="2" max="2" width="10.42578125" style="1" customWidth="1"/>
    <col min="3" max="3" width="15" style="1" customWidth="1"/>
    <col min="4" max="4" width="8.7109375" style="1" customWidth="1"/>
    <col min="5" max="5" width="5" style="1" customWidth="1"/>
    <col min="6" max="6" width="13.85546875" style="1" customWidth="1"/>
    <col min="7" max="7" width="14.28515625" style="1" customWidth="1"/>
    <col min="8" max="16384" width="11.42578125" style="1"/>
  </cols>
  <sheetData>
    <row r="1" spans="1:8" ht="12.75" thickBot="1" x14ac:dyDescent="0.25"/>
    <row r="2" spans="1:8" ht="15.75" thickBot="1" x14ac:dyDescent="0.3">
      <c r="A2" s="85" t="s">
        <v>45</v>
      </c>
      <c r="B2" s="86"/>
      <c r="C2" s="86"/>
      <c r="D2" s="86"/>
      <c r="E2" s="86"/>
      <c r="F2" s="86"/>
      <c r="G2" s="87"/>
      <c r="H2" s="2"/>
    </row>
    <row r="4" spans="1:8" ht="12.75" thickBot="1" x14ac:dyDescent="0.25"/>
    <row r="5" spans="1:8" x14ac:dyDescent="0.2">
      <c r="A5" s="3" t="s">
        <v>0</v>
      </c>
      <c r="B5" s="61">
        <f>juillet!B5</f>
        <v>2</v>
      </c>
      <c r="C5" s="4"/>
      <c r="D5" s="5"/>
      <c r="E5" s="6"/>
      <c r="F5" s="91" t="str">
        <f>juillet!F5</f>
        <v>Groupe Advensys Luxembourg S.A</v>
      </c>
      <c r="G5" s="92"/>
    </row>
    <row r="6" spans="1:8" x14ac:dyDescent="0.2">
      <c r="A6" s="7" t="s">
        <v>1</v>
      </c>
      <c r="B6" s="67" t="str">
        <f>juillet!B6</f>
        <v>968,04</v>
      </c>
      <c r="C6" s="9"/>
      <c r="D6" s="10"/>
      <c r="E6" s="6"/>
      <c r="F6" s="93" t="str">
        <f>juillet!F6</f>
        <v>Duarrefstrooss 49</v>
      </c>
      <c r="G6" s="94"/>
    </row>
    <row r="7" spans="1:8" ht="12.75" thickBot="1" x14ac:dyDescent="0.25">
      <c r="A7" s="7" t="s">
        <v>2</v>
      </c>
      <c r="B7" s="67" t="str">
        <f>juillet!B7</f>
        <v xml:space="preserve">Comptable </v>
      </c>
      <c r="C7" s="9"/>
      <c r="D7" s="10"/>
      <c r="E7" s="6"/>
      <c r="F7" s="95" t="str">
        <f>juillet!F7</f>
        <v>L-9964 Huldange</v>
      </c>
      <c r="G7" s="96"/>
    </row>
    <row r="8" spans="1:8" ht="12.75" thickBot="1" x14ac:dyDescent="0.25">
      <c r="A8" s="7" t="s">
        <v>3</v>
      </c>
      <c r="B8" s="73">
        <f>juillet!B8</f>
        <v>44455</v>
      </c>
      <c r="C8" s="9"/>
      <c r="D8" s="10"/>
      <c r="E8" s="6"/>
      <c r="F8" s="67"/>
      <c r="G8" s="12"/>
    </row>
    <row r="9" spans="1:8" x14ac:dyDescent="0.2">
      <c r="A9" s="7" t="s">
        <v>4</v>
      </c>
      <c r="B9" s="67" t="str">
        <f>juillet!B9</f>
        <v>1996 0905 124 86</v>
      </c>
      <c r="C9" s="9"/>
      <c r="D9" s="10"/>
      <c r="E9" s="6"/>
      <c r="F9" s="91" t="str">
        <f>juillet!F9</f>
        <v>BERTHE Alexandra</v>
      </c>
      <c r="G9" s="92"/>
    </row>
    <row r="10" spans="1:8" x14ac:dyDescent="0.2">
      <c r="A10" s="7" t="s">
        <v>5</v>
      </c>
      <c r="B10" s="67">
        <f>juillet!B10</f>
        <v>20152206748</v>
      </c>
      <c r="C10" s="9"/>
      <c r="D10" s="10"/>
      <c r="E10" s="6"/>
      <c r="F10" s="93" t="str">
        <f>juillet!F10</f>
        <v>93, Duarrefstrooss</v>
      </c>
      <c r="G10" s="94"/>
    </row>
    <row r="11" spans="1:8" ht="12.75" thickBot="1" x14ac:dyDescent="0.25">
      <c r="A11" s="13" t="s">
        <v>6</v>
      </c>
      <c r="B11" s="14" t="s">
        <v>71</v>
      </c>
      <c r="C11" s="15"/>
      <c r="D11" s="16"/>
      <c r="E11" s="6"/>
      <c r="F11" s="95" t="str">
        <f>juillet!F11</f>
        <v>L-9964 Huldange</v>
      </c>
      <c r="G11" s="96"/>
    </row>
    <row r="12" spans="1:8" x14ac:dyDescent="0.2">
      <c r="A12" s="97" t="s">
        <v>7</v>
      </c>
      <c r="B12" s="97"/>
      <c r="C12" s="97"/>
      <c r="D12" s="97"/>
      <c r="E12" s="6"/>
      <c r="F12" s="6"/>
      <c r="G12" s="6"/>
    </row>
    <row r="13" spans="1:8" ht="12.75" thickBot="1" x14ac:dyDescent="0.25">
      <c r="A13" s="6"/>
      <c r="B13" s="6"/>
      <c r="C13" s="6"/>
      <c r="D13" s="6"/>
      <c r="E13" s="6"/>
      <c r="F13" s="6"/>
      <c r="G13" s="6"/>
    </row>
    <row r="14" spans="1:8" ht="23.25" thickBot="1" x14ac:dyDescent="0.25">
      <c r="A14" s="21" t="s">
        <v>8</v>
      </c>
      <c r="B14" s="17" t="s">
        <v>46</v>
      </c>
      <c r="C14" s="18" t="s">
        <v>9</v>
      </c>
      <c r="D14" s="19" t="s">
        <v>10</v>
      </c>
      <c r="E14" s="20"/>
      <c r="F14" s="21" t="s">
        <v>11</v>
      </c>
      <c r="G14" s="70" t="s">
        <v>10</v>
      </c>
    </row>
    <row r="15" spans="1:8" ht="12.75" thickBot="1" x14ac:dyDescent="0.25">
      <c r="A15" s="11"/>
      <c r="B15" s="22"/>
      <c r="C15" s="22"/>
      <c r="D15" s="22"/>
      <c r="E15" s="22"/>
      <c r="F15" s="22"/>
      <c r="G15" s="6"/>
    </row>
    <row r="16" spans="1:8" x14ac:dyDescent="0.2">
      <c r="A16" s="23" t="s">
        <v>12</v>
      </c>
      <c r="B16" s="24">
        <f>D51</f>
        <v>173</v>
      </c>
      <c r="C16" s="24">
        <f>D52</f>
        <v>18.753757225433528</v>
      </c>
      <c r="D16" s="25">
        <f>B16*C16</f>
        <v>3244.4000000000005</v>
      </c>
      <c r="E16" s="26"/>
      <c r="F16" s="26"/>
      <c r="G16" s="6"/>
    </row>
    <row r="17" spans="1:7" x14ac:dyDescent="0.2">
      <c r="A17" s="27" t="s">
        <v>43</v>
      </c>
      <c r="B17" s="26">
        <v>8</v>
      </c>
      <c r="C17" s="26">
        <v>0</v>
      </c>
      <c r="D17" s="28">
        <v>0</v>
      </c>
      <c r="E17" s="26"/>
      <c r="F17" s="26"/>
      <c r="G17" s="6"/>
    </row>
    <row r="18" spans="1:7" x14ac:dyDescent="0.2">
      <c r="A18" s="27" t="s">
        <v>31</v>
      </c>
      <c r="B18" s="26">
        <v>0</v>
      </c>
      <c r="C18" s="26">
        <v>0</v>
      </c>
      <c r="D18" s="28">
        <v>0</v>
      </c>
      <c r="E18" s="26"/>
      <c r="F18" s="26"/>
      <c r="G18" s="6"/>
    </row>
    <row r="19" spans="1:7" ht="12.75" thickBot="1" x14ac:dyDescent="0.25">
      <c r="A19" s="29" t="s">
        <v>48</v>
      </c>
      <c r="B19" s="30"/>
      <c r="C19" s="30"/>
      <c r="D19" s="31"/>
      <c r="E19" s="26"/>
      <c r="F19" s="26"/>
      <c r="G19" s="6"/>
    </row>
    <row r="20" spans="1:7" ht="12.75" thickBot="1" x14ac:dyDescent="0.25">
      <c r="A20" s="102" t="s">
        <v>13</v>
      </c>
      <c r="B20" s="102"/>
      <c r="C20" s="102"/>
      <c r="D20" s="32">
        <f>D16</f>
        <v>3244.4000000000005</v>
      </c>
      <c r="E20" s="33"/>
      <c r="F20" s="42">
        <f>juillet!G22</f>
        <v>22394.600000000002</v>
      </c>
      <c r="G20" s="62">
        <f>F20+D20</f>
        <v>25639.000000000004</v>
      </c>
    </row>
    <row r="21" spans="1:7" ht="12.75" thickBot="1" x14ac:dyDescent="0.25">
      <c r="A21" s="9"/>
      <c r="B21" s="26"/>
      <c r="C21" s="26"/>
      <c r="D21" s="33"/>
      <c r="E21" s="33"/>
      <c r="F21" s="24"/>
      <c r="G21" s="68"/>
    </row>
    <row r="22" spans="1:7" ht="12.75" thickBot="1" x14ac:dyDescent="0.25">
      <c r="A22" s="35" t="s">
        <v>14</v>
      </c>
      <c r="B22" s="36"/>
      <c r="C22" s="36"/>
      <c r="D22" s="37"/>
      <c r="E22" s="9"/>
      <c r="F22" s="26"/>
      <c r="G22" s="68"/>
    </row>
    <row r="23" spans="1:7" x14ac:dyDescent="0.2">
      <c r="A23" s="39" t="s">
        <v>15</v>
      </c>
      <c r="B23" s="40">
        <f>juillet!B25</f>
        <v>2.8000000000000001E-2</v>
      </c>
      <c r="C23" s="26"/>
      <c r="D23" s="41">
        <f>D20*B23</f>
        <v>90.84320000000001</v>
      </c>
      <c r="E23" s="26"/>
      <c r="F23" s="42">
        <f>juillet!G25</f>
        <v>637.24634302890172</v>
      </c>
      <c r="G23" s="63">
        <f>F23+D23</f>
        <v>728.08954302890174</v>
      </c>
    </row>
    <row r="24" spans="1:7" x14ac:dyDescent="0.2">
      <c r="A24" s="39" t="s">
        <v>16</v>
      </c>
      <c r="B24" s="40">
        <f>juillet!B26</f>
        <v>2.5000000000000001E-3</v>
      </c>
      <c r="C24" s="26"/>
      <c r="D24" s="41">
        <f>B24*D20</f>
        <v>8.1110000000000007</v>
      </c>
      <c r="E24" s="26"/>
      <c r="F24" s="43">
        <f>juillet!G26</f>
        <v>55.986500000000007</v>
      </c>
      <c r="G24" s="64">
        <f t="shared" ref="G24:G43" si="0">F24+D24</f>
        <v>64.097500000000011</v>
      </c>
    </row>
    <row r="25" spans="1:7" x14ac:dyDescent="0.2">
      <c r="A25" s="39" t="s">
        <v>17</v>
      </c>
      <c r="B25" s="40">
        <f>juillet!B27</f>
        <v>0.08</v>
      </c>
      <c r="C25" s="26"/>
      <c r="D25" s="41">
        <f>B25*D20</f>
        <v>259.55200000000002</v>
      </c>
      <c r="E25" s="26"/>
      <c r="F25" s="43">
        <f>juillet!G27</f>
        <v>1791.5680000000002</v>
      </c>
      <c r="G25" s="64">
        <f t="shared" si="0"/>
        <v>2051.1200000000003</v>
      </c>
    </row>
    <row r="26" spans="1:7" ht="12.75" thickBot="1" x14ac:dyDescent="0.25">
      <c r="A26" s="39" t="s">
        <v>18</v>
      </c>
      <c r="B26" s="40">
        <f>juillet!B28</f>
        <v>1.4E-2</v>
      </c>
      <c r="C26" s="26"/>
      <c r="D26" s="41">
        <f>B26*(D17+D20-675.93)</f>
        <v>35.958580000000012</v>
      </c>
      <c r="E26" s="26"/>
      <c r="F26" s="46">
        <f>juillet!G28</f>
        <v>254.0071515144509</v>
      </c>
      <c r="G26" s="64">
        <f t="shared" si="0"/>
        <v>289.96573151445091</v>
      </c>
    </row>
    <row r="27" spans="1:7" ht="12.75" thickBot="1" x14ac:dyDescent="0.25">
      <c r="A27" s="100" t="s">
        <v>19</v>
      </c>
      <c r="B27" s="100"/>
      <c r="C27" s="100"/>
      <c r="D27" s="44">
        <f>SUM(D23:D26)</f>
        <v>394.46478000000002</v>
      </c>
      <c r="E27" s="33"/>
      <c r="F27" s="34">
        <f>juillet!G29</f>
        <v>2738.8079945433528</v>
      </c>
      <c r="G27" s="62">
        <f t="shared" si="0"/>
        <v>3133.2727745433531</v>
      </c>
    </row>
    <row r="28" spans="1:7" ht="12.75" thickBot="1" x14ac:dyDescent="0.25">
      <c r="A28" s="9"/>
      <c r="B28" s="40"/>
      <c r="C28" s="26"/>
      <c r="D28" s="33"/>
      <c r="E28" s="33"/>
      <c r="F28" s="26"/>
      <c r="G28" s="68"/>
    </row>
    <row r="29" spans="1:7" ht="12.75" thickBot="1" x14ac:dyDescent="0.25">
      <c r="A29" s="23" t="s">
        <v>20</v>
      </c>
      <c r="B29" s="24"/>
      <c r="C29" s="24"/>
      <c r="D29" s="45"/>
      <c r="E29" s="33"/>
      <c r="F29" s="26"/>
      <c r="G29" s="71"/>
    </row>
    <row r="30" spans="1:7" x14ac:dyDescent="0.2">
      <c r="A30" s="27" t="s">
        <v>21</v>
      </c>
      <c r="B30" s="26"/>
      <c r="C30" s="26"/>
      <c r="D30" s="28">
        <f>juillet!D32</f>
        <v>0</v>
      </c>
      <c r="E30" s="26"/>
      <c r="F30" s="42">
        <f>juillet!G32</f>
        <v>0</v>
      </c>
      <c r="G30" s="64">
        <f>F30+D30</f>
        <v>0</v>
      </c>
    </row>
    <row r="31" spans="1:7" x14ac:dyDescent="0.2">
      <c r="A31" s="27" t="s">
        <v>22</v>
      </c>
      <c r="B31" s="26"/>
      <c r="C31" s="26"/>
      <c r="D31" s="28">
        <f>juillet!D33</f>
        <v>0</v>
      </c>
      <c r="E31" s="26"/>
      <c r="F31" s="43">
        <f>juillet!G33</f>
        <v>0</v>
      </c>
      <c r="G31" s="64">
        <f t="shared" si="0"/>
        <v>0</v>
      </c>
    </row>
    <row r="32" spans="1:7" x14ac:dyDescent="0.2">
      <c r="A32" s="27" t="s">
        <v>23</v>
      </c>
      <c r="B32" s="26"/>
      <c r="C32" s="26"/>
      <c r="D32" s="28">
        <f>juillet!D34</f>
        <v>0</v>
      </c>
      <c r="E32" s="26"/>
      <c r="F32" s="43">
        <f>juillet!G34</f>
        <v>0</v>
      </c>
      <c r="G32" s="64">
        <f t="shared" si="0"/>
        <v>0</v>
      </c>
    </row>
    <row r="33" spans="1:7" ht="12.75" thickBot="1" x14ac:dyDescent="0.25">
      <c r="A33" s="29" t="s">
        <v>24</v>
      </c>
      <c r="B33" s="30"/>
      <c r="C33" s="30"/>
      <c r="D33" s="31">
        <f>juillet!D35</f>
        <v>0</v>
      </c>
      <c r="E33" s="26"/>
      <c r="F33" s="46">
        <f>juillet!G35</f>
        <v>0</v>
      </c>
      <c r="G33" s="65">
        <f t="shared" si="0"/>
        <v>0</v>
      </c>
    </row>
    <row r="34" spans="1:7" ht="12.75" thickBot="1" x14ac:dyDescent="0.25">
      <c r="A34" s="11"/>
      <c r="B34" s="26"/>
      <c r="C34" s="26"/>
      <c r="D34" s="26"/>
      <c r="E34" s="26"/>
      <c r="F34" s="26"/>
      <c r="G34" s="68"/>
    </row>
    <row r="35" spans="1:7" ht="12.75" thickBot="1" x14ac:dyDescent="0.25">
      <c r="A35" s="100" t="s">
        <v>25</v>
      </c>
      <c r="B35" s="100"/>
      <c r="C35" s="100"/>
      <c r="D35" s="44">
        <f>D20-D23-D24-D25-D30-D31-D32-D33</f>
        <v>2885.8938000000007</v>
      </c>
      <c r="E35" s="33"/>
      <c r="F35" s="34">
        <f>juillet!G37</f>
        <v>19909.799156971098</v>
      </c>
      <c r="G35" s="62">
        <f t="shared" si="0"/>
        <v>22795.692956971099</v>
      </c>
    </row>
    <row r="36" spans="1:7" ht="12.75" thickBot="1" x14ac:dyDescent="0.25">
      <c r="A36" s="9"/>
      <c r="B36" s="26"/>
      <c r="C36" s="26"/>
      <c r="D36" s="33"/>
      <c r="E36" s="33"/>
      <c r="F36" s="26"/>
      <c r="G36" s="68"/>
    </row>
    <row r="37" spans="1:7" x14ac:dyDescent="0.2">
      <c r="A37" s="47" t="s">
        <v>26</v>
      </c>
      <c r="B37" s="24"/>
      <c r="C37" s="24"/>
      <c r="D37" s="25">
        <v>240.6</v>
      </c>
      <c r="E37" s="26"/>
      <c r="F37" s="42">
        <f>juillet!G39</f>
        <v>1622.9999999999998</v>
      </c>
      <c r="G37" s="63">
        <f t="shared" si="0"/>
        <v>1863.5999999999997</v>
      </c>
    </row>
    <row r="38" spans="1:7" x14ac:dyDescent="0.2">
      <c r="A38" s="72" t="s">
        <v>44</v>
      </c>
      <c r="B38" s="26"/>
      <c r="C38" s="26"/>
      <c r="D38" s="28">
        <f>IF(D20&lt;1800,0,IF(D20&lt;=3000,81,IF(D20&gt;=3600,0,81/600*(3600-D20))))</f>
        <v>48.005999999999929</v>
      </c>
      <c r="E38" s="26"/>
      <c r="F38" s="43">
        <f>juillet!G40</f>
        <v>386.69899999999984</v>
      </c>
      <c r="G38" s="64">
        <f t="shared" si="0"/>
        <v>434.70499999999976</v>
      </c>
    </row>
    <row r="39" spans="1:7" x14ac:dyDescent="0.2">
      <c r="A39" s="27" t="s">
        <v>27</v>
      </c>
      <c r="B39" s="26"/>
      <c r="C39" s="26"/>
      <c r="D39" s="28">
        <f>IF(D20&lt;78,0,IF(D20&lt;936,((300+(D20*12-936)*0.029)/12),IF(D20&lt;3333.33,50,IF(D20&gt;6666.5,0,((600-(D20*12-40000)*0.015)/12)))))</f>
        <v>50</v>
      </c>
      <c r="E39" s="26"/>
      <c r="F39" s="43">
        <f>juillet!G41</f>
        <v>350</v>
      </c>
      <c r="G39" s="64">
        <f t="shared" si="0"/>
        <v>400</v>
      </c>
    </row>
    <row r="40" spans="1:7" ht="12.75" thickBot="1" x14ac:dyDescent="0.25">
      <c r="A40" s="29" t="s">
        <v>58</v>
      </c>
      <c r="B40" s="30"/>
      <c r="C40" s="30"/>
      <c r="D40" s="31">
        <f>IF(D20&lt;78,0,IF(D20&lt;3333.33,16,IF(D20&lt;6667,((16-(D20-3333.33)*0.0042)),0)))</f>
        <v>16</v>
      </c>
      <c r="E40" s="81"/>
      <c r="F40" s="46">
        <f>juillet!G42</f>
        <v>114</v>
      </c>
      <c r="G40" s="65">
        <f t="shared" ref="G40" si="1">F40+D40</f>
        <v>130</v>
      </c>
    </row>
    <row r="41" spans="1:7" x14ac:dyDescent="0.2">
      <c r="A41" s="11"/>
      <c r="B41" s="26"/>
      <c r="C41" s="26"/>
      <c r="D41" s="22"/>
      <c r="E41" s="22"/>
      <c r="F41" s="26"/>
      <c r="G41" s="68"/>
    </row>
    <row r="42" spans="1:7" ht="12.75" thickBot="1" x14ac:dyDescent="0.25">
      <c r="A42" s="11"/>
      <c r="B42" s="26"/>
      <c r="C42" s="26"/>
      <c r="D42" s="22"/>
      <c r="E42" s="22"/>
      <c r="F42" s="26"/>
      <c r="G42" s="68"/>
    </row>
    <row r="43" spans="1:7" ht="12.75" thickBot="1" x14ac:dyDescent="0.25">
      <c r="A43" s="100" t="s">
        <v>28</v>
      </c>
      <c r="B43" s="100"/>
      <c r="C43" s="100"/>
      <c r="D43" s="48">
        <f>D20-D27-D37+D38+D39+D40</f>
        <v>2723.3412200000002</v>
      </c>
      <c r="E43" s="26"/>
      <c r="F43" s="34">
        <f>juillet!G44</f>
        <v>19383.398156901734</v>
      </c>
      <c r="G43" s="62">
        <f t="shared" si="0"/>
        <v>22106.739376901736</v>
      </c>
    </row>
    <row r="44" spans="1:7" ht="12.75" thickBot="1" x14ac:dyDescent="0.25">
      <c r="A44" s="100" t="s">
        <v>60</v>
      </c>
      <c r="B44" s="100"/>
      <c r="C44" s="100"/>
      <c r="D44" s="48">
        <v>56</v>
      </c>
      <c r="E44" s="11"/>
      <c r="F44" s="11" t="s">
        <v>29</v>
      </c>
      <c r="G44" s="68"/>
    </row>
    <row r="45" spans="1:7" ht="12.75" thickBot="1" x14ac:dyDescent="0.25">
      <c r="A45" s="98" t="s">
        <v>61</v>
      </c>
      <c r="B45" s="99"/>
      <c r="C45" s="99"/>
      <c r="D45" s="83">
        <v>500</v>
      </c>
      <c r="E45" s="11"/>
      <c r="F45" s="69" t="s">
        <v>30</v>
      </c>
      <c r="G45" s="62">
        <f>D43-D44-D45</f>
        <v>2167.3412200000002</v>
      </c>
    </row>
    <row r="46" spans="1:7" x14ac:dyDescent="0.2">
      <c r="A46" s="49"/>
      <c r="B46" s="49"/>
      <c r="C46" s="49"/>
      <c r="D46" s="26"/>
      <c r="E46" s="11"/>
      <c r="F46" s="9"/>
      <c r="G46" s="68"/>
    </row>
    <row r="47" spans="1:7" ht="12.75" thickBot="1" x14ac:dyDescent="0.25">
      <c r="A47" s="11"/>
      <c r="B47" s="11"/>
      <c r="C47" s="11"/>
      <c r="D47" s="11"/>
      <c r="E47" s="11"/>
      <c r="F47" s="9"/>
      <c r="G47" s="6"/>
    </row>
    <row r="48" spans="1:7" ht="12.75" thickBot="1" x14ac:dyDescent="0.25">
      <c r="A48" s="50" t="s">
        <v>31</v>
      </c>
      <c r="B48" s="11"/>
      <c r="C48" s="38"/>
      <c r="D48" s="38"/>
      <c r="E48" s="38"/>
      <c r="F48" s="38"/>
      <c r="G48" s="6"/>
    </row>
    <row r="49" spans="1:7" ht="12.75" thickBot="1" x14ac:dyDescent="0.25">
      <c r="A49" s="51" t="s">
        <v>55</v>
      </c>
      <c r="B49" s="8">
        <f>+juillet!B50</f>
        <v>208</v>
      </c>
      <c r="C49" s="100" t="s">
        <v>32</v>
      </c>
      <c r="D49" s="101"/>
      <c r="E49" s="49"/>
      <c r="F49" s="88" t="s">
        <v>33</v>
      </c>
      <c r="G49" s="89"/>
    </row>
    <row r="50" spans="1:7" x14ac:dyDescent="0.2">
      <c r="A50" s="82" t="s">
        <v>56</v>
      </c>
      <c r="B50" s="8">
        <f>+juillet!B51</f>
        <v>-4</v>
      </c>
      <c r="C50" s="51" t="s">
        <v>34</v>
      </c>
      <c r="D50" s="52">
        <f>D51*D52</f>
        <v>3244.4000000000005</v>
      </c>
      <c r="E50" s="26"/>
      <c r="F50" s="53" t="s">
        <v>35</v>
      </c>
      <c r="G50" s="66" t="str">
        <f>juillet!G51</f>
        <v>D608388-2022</v>
      </c>
    </row>
    <row r="51" spans="1:7" x14ac:dyDescent="0.2">
      <c r="A51" s="54" t="s">
        <v>36</v>
      </c>
      <c r="B51" s="8">
        <f>juillet!B52+B18</f>
        <v>97</v>
      </c>
      <c r="C51" s="54" t="s">
        <v>37</v>
      </c>
      <c r="D51" s="55">
        <f>juillet!D52</f>
        <v>173</v>
      </c>
      <c r="E51" s="26"/>
      <c r="F51" s="56" t="s">
        <v>38</v>
      </c>
      <c r="G51" s="57">
        <f>juillet!G52</f>
        <v>1</v>
      </c>
    </row>
    <row r="52" spans="1:7" ht="12.75" thickBot="1" x14ac:dyDescent="0.25">
      <c r="A52" s="58" t="s">
        <v>39</v>
      </c>
      <c r="B52" s="8">
        <f>(B50+B49)-B51</f>
        <v>107</v>
      </c>
      <c r="C52" s="58" t="s">
        <v>40</v>
      </c>
      <c r="D52" s="59">
        <f>juillet!D53</f>
        <v>18.753757225433528</v>
      </c>
      <c r="E52" s="26"/>
      <c r="F52" s="60" t="s">
        <v>41</v>
      </c>
      <c r="G52" s="74" t="str">
        <f>juillet!G53</f>
        <v>-</v>
      </c>
    </row>
    <row r="53" spans="1:7" x14ac:dyDescent="0.2">
      <c r="A53" s="9"/>
      <c r="B53" s="8"/>
      <c r="C53" s="9"/>
      <c r="D53" s="26"/>
      <c r="E53" s="26"/>
      <c r="F53" s="11"/>
      <c r="G53" s="6"/>
    </row>
    <row r="54" spans="1:7" x14ac:dyDescent="0.2">
      <c r="A54" s="90" t="s">
        <v>42</v>
      </c>
      <c r="B54" s="90"/>
      <c r="C54" s="90"/>
      <c r="D54" s="90"/>
      <c r="E54" s="11"/>
      <c r="F54" s="11"/>
      <c r="G54" s="6"/>
    </row>
    <row r="59" spans="1:7" ht="15" x14ac:dyDescent="0.25">
      <c r="B59"/>
    </row>
  </sheetData>
  <mergeCells count="17">
    <mergeCell ref="F10:G10"/>
    <mergeCell ref="A2:G2"/>
    <mergeCell ref="F5:G5"/>
    <mergeCell ref="F6:G6"/>
    <mergeCell ref="F7:G7"/>
    <mergeCell ref="F9:G9"/>
    <mergeCell ref="F49:G49"/>
    <mergeCell ref="A54:D54"/>
    <mergeCell ref="F11:G11"/>
    <mergeCell ref="A12:D12"/>
    <mergeCell ref="A20:C20"/>
    <mergeCell ref="A27:C27"/>
    <mergeCell ref="A35:C35"/>
    <mergeCell ref="A43:C43"/>
    <mergeCell ref="C49:D49"/>
    <mergeCell ref="A44:C44"/>
    <mergeCell ref="A45:C45"/>
  </mergeCells>
  <pageMargins left="0.7" right="0.7" top="0.75" bottom="0.75" header="0.3" footer="0.3"/>
  <pageSetup paperSize="9" orientation="portrait" r:id="rId1"/>
  <headerFooter>
    <oddFooter>&amp;LGroupe Advensys Luxembourg S.A
contact@advensys-conseil.lu&amp;C
Grand rue 34
L-9710 Clervaux&amp;R+352 28 79 76 26       
+352 661 11 22 60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199C6-61C6-423A-B182-F2A347235DB6}">
  <sheetPr codeName="Feuil9"/>
  <dimension ref="A1:H57"/>
  <sheetViews>
    <sheetView tabSelected="1" zoomScaleNormal="100" workbookViewId="0">
      <selection activeCell="B19" sqref="B19"/>
    </sheetView>
  </sheetViews>
  <sheetFormatPr baseColWidth="10" defaultColWidth="11.42578125" defaultRowHeight="12" x14ac:dyDescent="0.2"/>
  <cols>
    <col min="1" max="1" width="20.140625" style="1" bestFit="1" customWidth="1"/>
    <col min="2" max="2" width="10.42578125" style="1" customWidth="1"/>
    <col min="3" max="3" width="15" style="1" customWidth="1"/>
    <col min="4" max="4" width="8.7109375" style="1" customWidth="1"/>
    <col min="5" max="5" width="5" style="1" customWidth="1"/>
    <col min="6" max="6" width="13.85546875" style="1" customWidth="1"/>
    <col min="7" max="7" width="14.28515625" style="1" customWidth="1"/>
    <col min="8" max="16384" width="11.42578125" style="1"/>
  </cols>
  <sheetData>
    <row r="1" spans="1:8" ht="12.75" thickBot="1" x14ac:dyDescent="0.25"/>
    <row r="2" spans="1:8" ht="15.75" thickBot="1" x14ac:dyDescent="0.3">
      <c r="A2" s="85" t="s">
        <v>45</v>
      </c>
      <c r="B2" s="86"/>
      <c r="C2" s="86"/>
      <c r="D2" s="86"/>
      <c r="E2" s="86"/>
      <c r="F2" s="86"/>
      <c r="G2" s="87"/>
      <c r="H2" s="2"/>
    </row>
    <row r="4" spans="1:8" ht="12.75" thickBot="1" x14ac:dyDescent="0.25"/>
    <row r="5" spans="1:8" x14ac:dyDescent="0.2">
      <c r="A5" s="3" t="s">
        <v>0</v>
      </c>
      <c r="B5" s="61">
        <f>aout!B5</f>
        <v>2</v>
      </c>
      <c r="C5" s="4"/>
      <c r="D5" s="5"/>
      <c r="E5" s="6"/>
      <c r="F5" s="91" t="str">
        <f>aout!F5</f>
        <v>Groupe Advensys Luxembourg S.A</v>
      </c>
      <c r="G5" s="92"/>
    </row>
    <row r="6" spans="1:8" x14ac:dyDescent="0.2">
      <c r="A6" s="7" t="s">
        <v>1</v>
      </c>
      <c r="B6" s="67" t="str">
        <f>aout!B6</f>
        <v>968,04</v>
      </c>
      <c r="C6" s="9"/>
      <c r="D6" s="10"/>
      <c r="E6" s="6"/>
      <c r="F6" s="93" t="str">
        <f>aout!F6</f>
        <v>Duarrefstrooss 49</v>
      </c>
      <c r="G6" s="94"/>
    </row>
    <row r="7" spans="1:8" ht="12.75" thickBot="1" x14ac:dyDescent="0.25">
      <c r="A7" s="7" t="s">
        <v>2</v>
      </c>
      <c r="B7" s="67" t="str">
        <f>aout!B7</f>
        <v xml:space="preserve">Comptable </v>
      </c>
      <c r="C7" s="9"/>
      <c r="D7" s="10"/>
      <c r="E7" s="6"/>
      <c r="F7" s="95" t="str">
        <f>aout!F7</f>
        <v>L-9964 Huldange</v>
      </c>
      <c r="G7" s="96"/>
    </row>
    <row r="8" spans="1:8" ht="12.75" thickBot="1" x14ac:dyDescent="0.25">
      <c r="A8" s="7" t="s">
        <v>3</v>
      </c>
      <c r="B8" s="73">
        <f>aout!B8</f>
        <v>44455</v>
      </c>
      <c r="C8" s="9"/>
      <c r="D8" s="10"/>
      <c r="E8" s="6"/>
      <c r="F8" s="67"/>
      <c r="G8" s="12"/>
    </row>
    <row r="9" spans="1:8" x14ac:dyDescent="0.2">
      <c r="A9" s="7" t="s">
        <v>4</v>
      </c>
      <c r="B9" s="67" t="str">
        <f>aout!B9</f>
        <v>1996 0905 124 86</v>
      </c>
      <c r="C9" s="9"/>
      <c r="D9" s="10"/>
      <c r="E9" s="6"/>
      <c r="F9" s="91" t="str">
        <f>aout!F9</f>
        <v>BERTHE Alexandra</v>
      </c>
      <c r="G9" s="92"/>
    </row>
    <row r="10" spans="1:8" x14ac:dyDescent="0.2">
      <c r="A10" s="7" t="s">
        <v>5</v>
      </c>
      <c r="B10" s="67">
        <f>aout!B10</f>
        <v>20152206748</v>
      </c>
      <c r="C10" s="9"/>
      <c r="D10" s="10"/>
      <c r="E10" s="6"/>
      <c r="F10" s="93" t="str">
        <f>aout!F10</f>
        <v>93, Duarrefstrooss</v>
      </c>
      <c r="G10" s="94"/>
    </row>
    <row r="11" spans="1:8" ht="12.75" thickBot="1" x14ac:dyDescent="0.25">
      <c r="A11" s="13" t="s">
        <v>6</v>
      </c>
      <c r="B11" s="14" t="s">
        <v>73</v>
      </c>
      <c r="C11" s="15"/>
      <c r="D11" s="16"/>
      <c r="E11" s="6"/>
      <c r="F11" s="95" t="str">
        <f>aout!F11</f>
        <v>L-9964 Huldange</v>
      </c>
      <c r="G11" s="96"/>
    </row>
    <row r="12" spans="1:8" x14ac:dyDescent="0.2">
      <c r="A12" s="97" t="s">
        <v>7</v>
      </c>
      <c r="B12" s="97"/>
      <c r="C12" s="97"/>
      <c r="D12" s="97"/>
      <c r="E12" s="6"/>
      <c r="F12" s="6"/>
      <c r="G12" s="6"/>
    </row>
    <row r="13" spans="1:8" ht="12.75" thickBot="1" x14ac:dyDescent="0.25">
      <c r="A13" s="6"/>
      <c r="B13" s="6"/>
      <c r="C13" s="6"/>
      <c r="D13" s="6"/>
      <c r="E13" s="6"/>
      <c r="F13" s="6"/>
      <c r="G13" s="6"/>
    </row>
    <row r="14" spans="1:8" ht="23.25" thickBot="1" x14ac:dyDescent="0.25">
      <c r="A14" s="21" t="s">
        <v>8</v>
      </c>
      <c r="B14" s="17" t="s">
        <v>46</v>
      </c>
      <c r="C14" s="18" t="s">
        <v>9</v>
      </c>
      <c r="D14" s="19" t="s">
        <v>10</v>
      </c>
      <c r="E14" s="20"/>
      <c r="F14" s="21" t="s">
        <v>11</v>
      </c>
      <c r="G14" s="70" t="s">
        <v>10</v>
      </c>
    </row>
    <row r="15" spans="1:8" ht="12.75" thickBot="1" x14ac:dyDescent="0.25">
      <c r="A15" s="11"/>
      <c r="B15" s="22"/>
      <c r="C15" s="22"/>
      <c r="D15" s="22"/>
      <c r="E15" s="22"/>
      <c r="F15" s="22"/>
      <c r="G15" s="6"/>
    </row>
    <row r="16" spans="1:8" x14ac:dyDescent="0.2">
      <c r="A16" s="23" t="s">
        <v>12</v>
      </c>
      <c r="B16" s="24">
        <f>D49</f>
        <v>173</v>
      </c>
      <c r="C16" s="24">
        <f>D50</f>
        <v>18.753757225433528</v>
      </c>
      <c r="D16" s="25">
        <f>B16*C16</f>
        <v>3244.4000000000005</v>
      </c>
      <c r="E16" s="26"/>
      <c r="F16" s="26"/>
      <c r="G16" s="6"/>
    </row>
    <row r="17" spans="1:7" x14ac:dyDescent="0.2">
      <c r="A17" s="27" t="s">
        <v>43</v>
      </c>
      <c r="B17" s="26">
        <v>0</v>
      </c>
      <c r="C17" s="26">
        <v>0</v>
      </c>
      <c r="D17" s="28">
        <v>0</v>
      </c>
      <c r="E17" s="26"/>
      <c r="F17" s="26"/>
      <c r="G17" s="6"/>
    </row>
    <row r="18" spans="1:7" x14ac:dyDescent="0.2">
      <c r="A18" s="27" t="s">
        <v>31</v>
      </c>
      <c r="B18" s="26">
        <v>36</v>
      </c>
      <c r="C18" s="26">
        <v>0</v>
      </c>
      <c r="D18" s="28">
        <v>0</v>
      </c>
      <c r="E18" s="26"/>
      <c r="F18" s="26"/>
      <c r="G18" s="6"/>
    </row>
    <row r="19" spans="1:7" ht="12.75" thickBot="1" x14ac:dyDescent="0.25">
      <c r="A19" s="29" t="s">
        <v>48</v>
      </c>
      <c r="B19" s="30"/>
      <c r="C19" s="30"/>
      <c r="D19" s="31"/>
      <c r="E19" s="26"/>
      <c r="F19" s="26"/>
      <c r="G19" s="6"/>
    </row>
    <row r="20" spans="1:7" ht="12.75" thickBot="1" x14ac:dyDescent="0.25">
      <c r="A20" s="102" t="s">
        <v>13</v>
      </c>
      <c r="B20" s="102"/>
      <c r="C20" s="102"/>
      <c r="D20" s="32">
        <f>D16</f>
        <v>3244.4000000000005</v>
      </c>
      <c r="E20" s="33"/>
      <c r="F20" s="42">
        <f>aout!G20</f>
        <v>25639.000000000004</v>
      </c>
      <c r="G20" s="62">
        <f>F20+D20</f>
        <v>28883.400000000005</v>
      </c>
    </row>
    <row r="21" spans="1:7" ht="12.75" thickBot="1" x14ac:dyDescent="0.25">
      <c r="A21" s="9"/>
      <c r="B21" s="26"/>
      <c r="C21" s="26"/>
      <c r="D21" s="33"/>
      <c r="E21" s="33"/>
      <c r="F21" s="24"/>
      <c r="G21" s="68"/>
    </row>
    <row r="22" spans="1:7" ht="12.75" thickBot="1" x14ac:dyDescent="0.25">
      <c r="A22" s="35" t="s">
        <v>14</v>
      </c>
      <c r="B22" s="36"/>
      <c r="C22" s="36"/>
      <c r="D22" s="37"/>
      <c r="E22" s="9"/>
      <c r="F22" s="26"/>
      <c r="G22" s="68"/>
    </row>
    <row r="23" spans="1:7" x14ac:dyDescent="0.2">
      <c r="A23" s="39" t="s">
        <v>15</v>
      </c>
      <c r="B23" s="40">
        <f>aout!B23</f>
        <v>2.8000000000000001E-2</v>
      </c>
      <c r="C23" s="26"/>
      <c r="D23" s="41">
        <f>D20*B23</f>
        <v>90.84320000000001</v>
      </c>
      <c r="E23" s="26"/>
      <c r="F23" s="42">
        <f>aout!G23</f>
        <v>728.08954302890174</v>
      </c>
      <c r="G23" s="63">
        <f>F23+D23</f>
        <v>818.93274302890177</v>
      </c>
    </row>
    <row r="24" spans="1:7" x14ac:dyDescent="0.2">
      <c r="A24" s="39" t="s">
        <v>16</v>
      </c>
      <c r="B24" s="40">
        <f>aout!B24</f>
        <v>2.5000000000000001E-3</v>
      </c>
      <c r="C24" s="26"/>
      <c r="D24" s="41">
        <f>B24*D20</f>
        <v>8.1110000000000007</v>
      </c>
      <c r="E24" s="26"/>
      <c r="F24" s="43">
        <f>aout!G24</f>
        <v>64.097500000000011</v>
      </c>
      <c r="G24" s="64">
        <f t="shared" ref="G24:G42" si="0">F24+D24</f>
        <v>72.208500000000015</v>
      </c>
    </row>
    <row r="25" spans="1:7" x14ac:dyDescent="0.2">
      <c r="A25" s="39" t="s">
        <v>17</v>
      </c>
      <c r="B25" s="40">
        <f>aout!B25</f>
        <v>0.08</v>
      </c>
      <c r="C25" s="26"/>
      <c r="D25" s="41">
        <f>B25*D20</f>
        <v>259.55200000000002</v>
      </c>
      <c r="E25" s="26"/>
      <c r="F25" s="43">
        <f>aout!G25</f>
        <v>2051.1200000000003</v>
      </c>
      <c r="G25" s="64">
        <f t="shared" si="0"/>
        <v>2310.6720000000005</v>
      </c>
    </row>
    <row r="26" spans="1:7" ht="12.75" thickBot="1" x14ac:dyDescent="0.25">
      <c r="A26" s="39" t="s">
        <v>18</v>
      </c>
      <c r="B26" s="40">
        <f>aout!B26</f>
        <v>1.4E-2</v>
      </c>
      <c r="C26" s="26"/>
      <c r="D26" s="41">
        <f>B26*(D17+D20-675.93)</f>
        <v>35.958580000000012</v>
      </c>
      <c r="E26" s="26"/>
      <c r="F26" s="46">
        <f>aout!G26</f>
        <v>289.96573151445091</v>
      </c>
      <c r="G26" s="64">
        <f t="shared" si="0"/>
        <v>325.92431151445089</v>
      </c>
    </row>
    <row r="27" spans="1:7" ht="12.75" thickBot="1" x14ac:dyDescent="0.25">
      <c r="A27" s="100" t="s">
        <v>19</v>
      </c>
      <c r="B27" s="100"/>
      <c r="C27" s="100"/>
      <c r="D27" s="44">
        <f>SUM(D23:D26)</f>
        <v>394.46478000000002</v>
      </c>
      <c r="E27" s="33"/>
      <c r="F27" s="34">
        <f>aout!G27</f>
        <v>3133.2727745433531</v>
      </c>
      <c r="G27" s="62">
        <f t="shared" si="0"/>
        <v>3527.7375545433533</v>
      </c>
    </row>
    <row r="28" spans="1:7" ht="12.75" thickBot="1" x14ac:dyDescent="0.25">
      <c r="A28" s="9"/>
      <c r="B28" s="40"/>
      <c r="C28" s="26"/>
      <c r="D28" s="33"/>
      <c r="E28" s="33"/>
      <c r="F28" s="26"/>
      <c r="G28" s="68"/>
    </row>
    <row r="29" spans="1:7" ht="12.75" thickBot="1" x14ac:dyDescent="0.25">
      <c r="A29" s="23" t="s">
        <v>20</v>
      </c>
      <c r="B29" s="24"/>
      <c r="C29" s="24"/>
      <c r="D29" s="45"/>
      <c r="E29" s="33"/>
      <c r="F29" s="26"/>
      <c r="G29" s="71"/>
    </row>
    <row r="30" spans="1:7" x14ac:dyDescent="0.2">
      <c r="A30" s="27" t="s">
        <v>21</v>
      </c>
      <c r="B30" s="26"/>
      <c r="C30" s="26"/>
      <c r="D30" s="28">
        <f>aout!D30</f>
        <v>0</v>
      </c>
      <c r="E30" s="26"/>
      <c r="F30" s="42">
        <f>aout!G30</f>
        <v>0</v>
      </c>
      <c r="G30" s="64">
        <f>F30+D30</f>
        <v>0</v>
      </c>
    </row>
    <row r="31" spans="1:7" x14ac:dyDescent="0.2">
      <c r="A31" s="27" t="s">
        <v>22</v>
      </c>
      <c r="B31" s="26"/>
      <c r="C31" s="26"/>
      <c r="D31" s="28">
        <f>aout!D31</f>
        <v>0</v>
      </c>
      <c r="E31" s="26"/>
      <c r="F31" s="43">
        <f>aout!G31</f>
        <v>0</v>
      </c>
      <c r="G31" s="64">
        <f t="shared" si="0"/>
        <v>0</v>
      </c>
    </row>
    <row r="32" spans="1:7" x14ac:dyDescent="0.2">
      <c r="A32" s="27" t="s">
        <v>23</v>
      </c>
      <c r="B32" s="26"/>
      <c r="C32" s="26"/>
      <c r="D32" s="28">
        <f>aout!D32</f>
        <v>0</v>
      </c>
      <c r="E32" s="26"/>
      <c r="F32" s="43">
        <f>aout!G32</f>
        <v>0</v>
      </c>
      <c r="G32" s="64">
        <f t="shared" si="0"/>
        <v>0</v>
      </c>
    </row>
    <row r="33" spans="1:7" ht="12.75" thickBot="1" x14ac:dyDescent="0.25">
      <c r="A33" s="29" t="s">
        <v>24</v>
      </c>
      <c r="B33" s="30"/>
      <c r="C33" s="30"/>
      <c r="D33" s="31">
        <f>aout!D33</f>
        <v>0</v>
      </c>
      <c r="E33" s="26"/>
      <c r="F33" s="46">
        <f>aout!G33</f>
        <v>0</v>
      </c>
      <c r="G33" s="65">
        <f t="shared" si="0"/>
        <v>0</v>
      </c>
    </row>
    <row r="34" spans="1:7" ht="12.75" thickBot="1" x14ac:dyDescent="0.25">
      <c r="A34" s="11"/>
      <c r="B34" s="26"/>
      <c r="C34" s="26"/>
      <c r="D34" s="26"/>
      <c r="E34" s="26"/>
      <c r="F34" s="26"/>
      <c r="G34" s="68"/>
    </row>
    <row r="35" spans="1:7" ht="12.75" thickBot="1" x14ac:dyDescent="0.25">
      <c r="A35" s="100" t="s">
        <v>25</v>
      </c>
      <c r="B35" s="100"/>
      <c r="C35" s="100"/>
      <c r="D35" s="44">
        <f>D20-D23-D24-D25-D30-D31-D32-D33</f>
        <v>2885.8938000000007</v>
      </c>
      <c r="E35" s="33"/>
      <c r="F35" s="34">
        <f>aout!G35</f>
        <v>22795.692956971099</v>
      </c>
      <c r="G35" s="62">
        <f t="shared" si="0"/>
        <v>25681.586756971101</v>
      </c>
    </row>
    <row r="36" spans="1:7" ht="12.75" thickBot="1" x14ac:dyDescent="0.25">
      <c r="A36" s="9"/>
      <c r="B36" s="26"/>
      <c r="C36" s="26"/>
      <c r="D36" s="33"/>
      <c r="E36" s="33"/>
      <c r="F36" s="26"/>
      <c r="G36" s="68"/>
    </row>
    <row r="37" spans="1:7" x14ac:dyDescent="0.2">
      <c r="A37" s="47" t="s">
        <v>26</v>
      </c>
      <c r="B37" s="24"/>
      <c r="C37" s="24"/>
      <c r="D37" s="25">
        <v>240.6</v>
      </c>
      <c r="E37" s="26"/>
      <c r="F37" s="42">
        <f>aout!G37</f>
        <v>1863.5999999999997</v>
      </c>
      <c r="G37" s="63">
        <f t="shared" si="0"/>
        <v>2104.1999999999998</v>
      </c>
    </row>
    <row r="38" spans="1:7" x14ac:dyDescent="0.2">
      <c r="A38" s="72" t="s">
        <v>44</v>
      </c>
      <c r="B38" s="26"/>
      <c r="C38" s="26"/>
      <c r="D38" s="28">
        <f>IF(D20&lt;1800,0,IF(D20&lt;=3000,81,IF(D20&gt;=3600,0,81/600*(3600-D20))))</f>
        <v>48.005999999999929</v>
      </c>
      <c r="E38" s="26"/>
      <c r="F38" s="43">
        <f>aout!G38</f>
        <v>434.70499999999976</v>
      </c>
      <c r="G38" s="64">
        <f t="shared" si="0"/>
        <v>482.71099999999967</v>
      </c>
    </row>
    <row r="39" spans="1:7" x14ac:dyDescent="0.2">
      <c r="A39" s="27" t="s">
        <v>27</v>
      </c>
      <c r="B39" s="26"/>
      <c r="C39" s="26"/>
      <c r="D39" s="28">
        <f>IF(D20&lt;78,0,IF(D20&lt;936,((300+(D20*12-936)*0.029)/12),IF(D20&lt;3333.33,50,IF(D20&gt;6666.5,0,((600-(D20*12-40000)*0.015)/12)))))</f>
        <v>50</v>
      </c>
      <c r="E39" s="26"/>
      <c r="F39" s="43">
        <f>aout!G39</f>
        <v>400</v>
      </c>
      <c r="G39" s="64">
        <f t="shared" si="0"/>
        <v>450</v>
      </c>
    </row>
    <row r="40" spans="1:7" ht="12.75" thickBot="1" x14ac:dyDescent="0.25">
      <c r="A40" s="29" t="s">
        <v>58</v>
      </c>
      <c r="B40" s="30"/>
      <c r="C40" s="30"/>
      <c r="D40" s="31">
        <f>IF(D20&lt;78,0,IF(D20&lt;3333.33,16,IF(D20&lt;6667,((16-(D20-3333.33)*0.0042)),0)))</f>
        <v>16</v>
      </c>
      <c r="E40" s="81"/>
      <c r="F40" s="46">
        <f>aout!G40</f>
        <v>130</v>
      </c>
      <c r="G40" s="65">
        <f t="shared" ref="G40" si="1">F40+D40</f>
        <v>146</v>
      </c>
    </row>
    <row r="41" spans="1:7" ht="12.75" thickBot="1" x14ac:dyDescent="0.25">
      <c r="A41" s="11"/>
      <c r="B41" s="26"/>
      <c r="C41" s="26"/>
      <c r="D41" s="22"/>
      <c r="E41" s="22"/>
      <c r="F41" s="26"/>
      <c r="G41" s="68"/>
    </row>
    <row r="42" spans="1:7" ht="12.75" thickBot="1" x14ac:dyDescent="0.25">
      <c r="A42" s="100" t="s">
        <v>28</v>
      </c>
      <c r="B42" s="100"/>
      <c r="C42" s="100"/>
      <c r="D42" s="48">
        <f>D20-D27-D37+D38+D39+D40</f>
        <v>2723.3412200000002</v>
      </c>
      <c r="E42" s="26"/>
      <c r="F42" s="34">
        <f>aout!G43</f>
        <v>22106.739376901736</v>
      </c>
      <c r="G42" s="62">
        <f t="shared" si="0"/>
        <v>24830.080596901738</v>
      </c>
    </row>
    <row r="43" spans="1:7" ht="12.75" thickBot="1" x14ac:dyDescent="0.25">
      <c r="A43" s="100" t="s">
        <v>60</v>
      </c>
      <c r="B43" s="100"/>
      <c r="C43" s="100"/>
      <c r="D43" s="48">
        <v>56</v>
      </c>
      <c r="E43" s="11"/>
      <c r="F43" s="11" t="s">
        <v>29</v>
      </c>
      <c r="G43" s="68"/>
    </row>
    <row r="44" spans="1:7" ht="12.75" thickBot="1" x14ac:dyDescent="0.25">
      <c r="A44" s="98" t="s">
        <v>61</v>
      </c>
      <c r="B44" s="99"/>
      <c r="C44" s="99"/>
      <c r="D44" s="83">
        <v>600</v>
      </c>
      <c r="E44" s="11"/>
      <c r="F44" s="69" t="s">
        <v>30</v>
      </c>
      <c r="G44" s="62">
        <f>D42-D43-D44</f>
        <v>2067.3412200000002</v>
      </c>
    </row>
    <row r="45" spans="1:7" ht="12.75" thickBot="1" x14ac:dyDescent="0.25">
      <c r="A45" s="11"/>
      <c r="B45" s="11"/>
      <c r="C45" s="11"/>
      <c r="D45" s="11"/>
      <c r="E45" s="11"/>
      <c r="F45" s="9"/>
      <c r="G45" s="6"/>
    </row>
    <row r="46" spans="1:7" ht="12.75" thickBot="1" x14ac:dyDescent="0.25">
      <c r="A46" s="50" t="s">
        <v>31</v>
      </c>
      <c r="B46" s="11"/>
      <c r="C46" s="38"/>
      <c r="D46" s="38"/>
      <c r="E46" s="38"/>
      <c r="F46" s="38"/>
      <c r="G46" s="6"/>
    </row>
    <row r="47" spans="1:7" ht="12.75" thickBot="1" x14ac:dyDescent="0.25">
      <c r="A47" s="51" t="s">
        <v>55</v>
      </c>
      <c r="B47" s="8">
        <f>+aout!B49</f>
        <v>208</v>
      </c>
      <c r="C47" s="100" t="s">
        <v>32</v>
      </c>
      <c r="D47" s="101"/>
      <c r="E47" s="49"/>
      <c r="F47" s="88" t="s">
        <v>33</v>
      </c>
      <c r="G47" s="89"/>
    </row>
    <row r="48" spans="1:7" x14ac:dyDescent="0.2">
      <c r="A48" s="82" t="s">
        <v>56</v>
      </c>
      <c r="B48" s="8">
        <f>+aout!B50</f>
        <v>-4</v>
      </c>
      <c r="C48" s="51" t="s">
        <v>34</v>
      </c>
      <c r="D48" s="52">
        <f>D49*D50</f>
        <v>3244.4000000000005</v>
      </c>
      <c r="E48" s="26"/>
      <c r="F48" s="53" t="s">
        <v>35</v>
      </c>
      <c r="G48" s="66" t="str">
        <f>aout!G50</f>
        <v>D608388-2022</v>
      </c>
    </row>
    <row r="49" spans="1:7" x14ac:dyDescent="0.2">
      <c r="A49" s="54" t="s">
        <v>36</v>
      </c>
      <c r="B49" s="8">
        <f>aout!B51+B18</f>
        <v>133</v>
      </c>
      <c r="C49" s="54" t="s">
        <v>37</v>
      </c>
      <c r="D49" s="55">
        <f>aout!D51</f>
        <v>173</v>
      </c>
      <c r="E49" s="26"/>
      <c r="F49" s="56" t="s">
        <v>38</v>
      </c>
      <c r="G49" s="57">
        <f>aout!G51</f>
        <v>1</v>
      </c>
    </row>
    <row r="50" spans="1:7" ht="12.75" thickBot="1" x14ac:dyDescent="0.25">
      <c r="A50" s="58" t="s">
        <v>39</v>
      </c>
      <c r="B50" s="8">
        <f>(B48+B47)-B49</f>
        <v>71</v>
      </c>
      <c r="C50" s="58" t="s">
        <v>40</v>
      </c>
      <c r="D50" s="59">
        <f>aout!D52</f>
        <v>18.753757225433528</v>
      </c>
      <c r="E50" s="26"/>
      <c r="F50" s="60" t="s">
        <v>41</v>
      </c>
      <c r="G50" s="74" t="str">
        <f>aout!G52</f>
        <v>-</v>
      </c>
    </row>
    <row r="51" spans="1:7" x14ac:dyDescent="0.2">
      <c r="A51" s="9"/>
      <c r="B51" s="8"/>
      <c r="C51" s="9"/>
      <c r="D51" s="26"/>
      <c r="E51" s="26"/>
      <c r="F51" s="11"/>
      <c r="G51" s="6"/>
    </row>
    <row r="52" spans="1:7" x14ac:dyDescent="0.2">
      <c r="A52" s="90" t="s">
        <v>42</v>
      </c>
      <c r="B52" s="90"/>
      <c r="C52" s="90"/>
      <c r="D52" s="90"/>
      <c r="E52" s="11"/>
      <c r="F52" s="11"/>
      <c r="G52" s="6"/>
    </row>
    <row r="57" spans="1:7" ht="15" x14ac:dyDescent="0.25">
      <c r="B57"/>
    </row>
  </sheetData>
  <mergeCells count="17">
    <mergeCell ref="F10:G10"/>
    <mergeCell ref="A2:G2"/>
    <mergeCell ref="F5:G5"/>
    <mergeCell ref="F6:G6"/>
    <mergeCell ref="F7:G7"/>
    <mergeCell ref="F9:G9"/>
    <mergeCell ref="F47:G47"/>
    <mergeCell ref="A52:D52"/>
    <mergeCell ref="F11:G11"/>
    <mergeCell ref="A12:D12"/>
    <mergeCell ref="A20:C20"/>
    <mergeCell ref="A27:C27"/>
    <mergeCell ref="A35:C35"/>
    <mergeCell ref="A42:C42"/>
    <mergeCell ref="C47:D47"/>
    <mergeCell ref="A43:C43"/>
    <mergeCell ref="A44:C44"/>
  </mergeCells>
  <pageMargins left="0.7" right="0.7" top="0.75" bottom="0.75" header="0.3" footer="0.3"/>
  <pageSetup paperSize="9" orientation="portrait" r:id="rId1"/>
  <headerFooter>
    <oddFooter>&amp;LGroupe Advensys Luxembourg SA
contact@advensys-conseil.lu&amp;C
Grand rue 34
L-9710 Clervaux&amp;R+352 28 79 76 26       
+352 661 11 22 60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0939C-4CAD-4BF4-9E0E-A98C40F7AD1D}">
  <sheetPr codeName="Feuil10"/>
  <dimension ref="A1:H57"/>
  <sheetViews>
    <sheetView topLeftCell="A28" zoomScaleNormal="100" workbookViewId="0">
      <selection activeCell="D38" sqref="D38:D40"/>
    </sheetView>
  </sheetViews>
  <sheetFormatPr baseColWidth="10" defaultColWidth="11.42578125" defaultRowHeight="12" x14ac:dyDescent="0.2"/>
  <cols>
    <col min="1" max="1" width="20.140625" style="1" bestFit="1" customWidth="1"/>
    <col min="2" max="2" width="10.42578125" style="1" customWidth="1"/>
    <col min="3" max="3" width="15" style="1" customWidth="1"/>
    <col min="4" max="4" width="8.7109375" style="1" customWidth="1"/>
    <col min="5" max="5" width="5" style="1" customWidth="1"/>
    <col min="6" max="6" width="13.85546875" style="1" customWidth="1"/>
    <col min="7" max="7" width="14.28515625" style="1" customWidth="1"/>
    <col min="8" max="16384" width="11.42578125" style="1"/>
  </cols>
  <sheetData>
    <row r="1" spans="1:8" ht="12.75" thickBot="1" x14ac:dyDescent="0.25"/>
    <row r="2" spans="1:8" ht="15.75" thickBot="1" x14ac:dyDescent="0.3">
      <c r="A2" s="85" t="s">
        <v>45</v>
      </c>
      <c r="B2" s="86"/>
      <c r="C2" s="86"/>
      <c r="D2" s="86"/>
      <c r="E2" s="86"/>
      <c r="F2" s="86"/>
      <c r="G2" s="87"/>
      <c r="H2" s="2"/>
    </row>
    <row r="4" spans="1:8" ht="12.75" thickBot="1" x14ac:dyDescent="0.25"/>
    <row r="5" spans="1:8" x14ac:dyDescent="0.2">
      <c r="A5" s="3" t="s">
        <v>0</v>
      </c>
      <c r="B5" s="61">
        <f>septembre!B5</f>
        <v>2</v>
      </c>
      <c r="C5" s="4"/>
      <c r="D5" s="5"/>
      <c r="E5" s="6"/>
      <c r="F5" s="91" t="str">
        <f>septembre!F5</f>
        <v>Groupe Advensys Luxembourg S.A</v>
      </c>
      <c r="G5" s="92"/>
    </row>
    <row r="6" spans="1:8" x14ac:dyDescent="0.2">
      <c r="A6" s="7" t="s">
        <v>1</v>
      </c>
      <c r="B6" s="67" t="str">
        <f>septembre!B6</f>
        <v>968,04</v>
      </c>
      <c r="C6" s="9"/>
      <c r="D6" s="10"/>
      <c r="E6" s="6"/>
      <c r="F6" s="93" t="str">
        <f>septembre!F6</f>
        <v>Duarrefstrooss 49</v>
      </c>
      <c r="G6" s="94"/>
    </row>
    <row r="7" spans="1:8" ht="12.75" thickBot="1" x14ac:dyDescent="0.25">
      <c r="A7" s="7" t="s">
        <v>2</v>
      </c>
      <c r="B7" s="67" t="str">
        <f>septembre!B7</f>
        <v xml:space="preserve">Comptable </v>
      </c>
      <c r="C7" s="9"/>
      <c r="D7" s="10"/>
      <c r="E7" s="6"/>
      <c r="F7" s="95" t="str">
        <f>septembre!F7</f>
        <v>L-9964 Huldange</v>
      </c>
      <c r="G7" s="96"/>
    </row>
    <row r="8" spans="1:8" ht="12.75" thickBot="1" x14ac:dyDescent="0.25">
      <c r="A8" s="7" t="s">
        <v>3</v>
      </c>
      <c r="B8" s="73">
        <f>septembre!B8</f>
        <v>44455</v>
      </c>
      <c r="C8" s="9"/>
      <c r="D8" s="10"/>
      <c r="E8" s="6"/>
      <c r="F8" s="67"/>
      <c r="G8" s="12"/>
    </row>
    <row r="9" spans="1:8" x14ac:dyDescent="0.2">
      <c r="A9" s="7" t="s">
        <v>4</v>
      </c>
      <c r="B9" s="67" t="str">
        <f>septembre!B9</f>
        <v>1996 0905 124 86</v>
      </c>
      <c r="C9" s="9"/>
      <c r="D9" s="10"/>
      <c r="E9" s="6"/>
      <c r="F9" s="91" t="str">
        <f>septembre!F9</f>
        <v>BERTHE Alexandra</v>
      </c>
      <c r="G9" s="92"/>
    </row>
    <row r="10" spans="1:8" x14ac:dyDescent="0.2">
      <c r="A10" s="7" t="s">
        <v>5</v>
      </c>
      <c r="B10" s="67">
        <f>septembre!B10</f>
        <v>20152206748</v>
      </c>
      <c r="C10" s="9"/>
      <c r="D10" s="10"/>
      <c r="E10" s="6"/>
      <c r="F10" s="93" t="str">
        <f>septembre!F10</f>
        <v>93, Duarrefstrooss</v>
      </c>
      <c r="G10" s="94"/>
    </row>
    <row r="11" spans="1:8" ht="12.75" thickBot="1" x14ac:dyDescent="0.25">
      <c r="A11" s="13" t="s">
        <v>6</v>
      </c>
      <c r="B11" s="14" t="s">
        <v>52</v>
      </c>
      <c r="C11" s="15"/>
      <c r="D11" s="16"/>
      <c r="E11" s="6"/>
      <c r="F11" s="95" t="str">
        <f>septembre!F11</f>
        <v>L-9964 Huldange</v>
      </c>
      <c r="G11" s="96"/>
    </row>
    <row r="12" spans="1:8" x14ac:dyDescent="0.2">
      <c r="A12" s="97" t="s">
        <v>7</v>
      </c>
      <c r="B12" s="97"/>
      <c r="C12" s="97"/>
      <c r="D12" s="97"/>
      <c r="E12" s="6"/>
      <c r="F12" s="6"/>
      <c r="G12" s="6"/>
    </row>
    <row r="13" spans="1:8" ht="12.75" thickBot="1" x14ac:dyDescent="0.25">
      <c r="A13" s="6"/>
      <c r="B13" s="6"/>
      <c r="C13" s="6"/>
      <c r="D13" s="6"/>
      <c r="E13" s="6"/>
      <c r="F13" s="6"/>
      <c r="G13" s="6"/>
    </row>
    <row r="14" spans="1:8" ht="23.25" thickBot="1" x14ac:dyDescent="0.25">
      <c r="A14" s="21" t="s">
        <v>8</v>
      </c>
      <c r="B14" s="17" t="s">
        <v>46</v>
      </c>
      <c r="C14" s="18" t="s">
        <v>9</v>
      </c>
      <c r="D14" s="19" t="s">
        <v>10</v>
      </c>
      <c r="E14" s="20"/>
      <c r="F14" s="21" t="s">
        <v>11</v>
      </c>
      <c r="G14" s="70" t="s">
        <v>10</v>
      </c>
    </row>
    <row r="15" spans="1:8" ht="12.75" thickBot="1" x14ac:dyDescent="0.25">
      <c r="A15" s="11"/>
      <c r="B15" s="22"/>
      <c r="C15" s="22"/>
      <c r="D15" s="22"/>
      <c r="E15" s="22"/>
      <c r="F15" s="22"/>
      <c r="G15" s="6"/>
    </row>
    <row r="16" spans="1:8" x14ac:dyDescent="0.2">
      <c r="A16" s="23" t="s">
        <v>12</v>
      </c>
      <c r="B16" s="24">
        <f>D49</f>
        <v>173</v>
      </c>
      <c r="C16" s="24">
        <f>D50</f>
        <v>18.753757225433528</v>
      </c>
      <c r="D16" s="25">
        <f>B16*C16</f>
        <v>3244.4000000000005</v>
      </c>
      <c r="E16" s="26"/>
      <c r="F16" s="26"/>
      <c r="G16" s="6"/>
    </row>
    <row r="17" spans="1:7" x14ac:dyDescent="0.2">
      <c r="A17" s="27" t="s">
        <v>43</v>
      </c>
      <c r="B17" s="26">
        <v>0</v>
      </c>
      <c r="C17" s="26">
        <v>0</v>
      </c>
      <c r="D17" s="28">
        <v>0</v>
      </c>
      <c r="E17" s="26"/>
      <c r="F17" s="26"/>
      <c r="G17" s="6"/>
    </row>
    <row r="18" spans="1:7" x14ac:dyDescent="0.2">
      <c r="A18" s="27" t="s">
        <v>31</v>
      </c>
      <c r="B18" s="26">
        <v>0</v>
      </c>
      <c r="C18" s="26">
        <v>0</v>
      </c>
      <c r="D18" s="28">
        <v>0</v>
      </c>
      <c r="E18" s="26"/>
      <c r="F18" s="26"/>
      <c r="G18" s="6"/>
    </row>
    <row r="19" spans="1:7" ht="12.75" thickBot="1" x14ac:dyDescent="0.25">
      <c r="A19" s="29" t="s">
        <v>48</v>
      </c>
      <c r="B19" s="30"/>
      <c r="C19" s="30"/>
      <c r="D19" s="31"/>
      <c r="E19" s="26"/>
      <c r="F19" s="26"/>
      <c r="G19" s="6"/>
    </row>
    <row r="20" spans="1:7" ht="12.75" thickBot="1" x14ac:dyDescent="0.25">
      <c r="A20" s="102" t="s">
        <v>13</v>
      </c>
      <c r="B20" s="102"/>
      <c r="C20" s="102"/>
      <c r="D20" s="32">
        <f>D16</f>
        <v>3244.4000000000005</v>
      </c>
      <c r="E20" s="33"/>
      <c r="F20" s="42">
        <f>septembre!G20</f>
        <v>28883.400000000005</v>
      </c>
      <c r="G20" s="62">
        <f>F20+D20</f>
        <v>32127.800000000007</v>
      </c>
    </row>
    <row r="21" spans="1:7" ht="12.75" thickBot="1" x14ac:dyDescent="0.25">
      <c r="A21" s="9"/>
      <c r="B21" s="26"/>
      <c r="C21" s="26"/>
      <c r="D21" s="33"/>
      <c r="E21" s="33"/>
      <c r="F21" s="24"/>
      <c r="G21" s="68"/>
    </row>
    <row r="22" spans="1:7" ht="12.75" thickBot="1" x14ac:dyDescent="0.25">
      <c r="A22" s="35" t="s">
        <v>14</v>
      </c>
      <c r="B22" s="36"/>
      <c r="C22" s="36"/>
      <c r="D22" s="37"/>
      <c r="E22" s="9"/>
      <c r="F22" s="26"/>
      <c r="G22" s="68"/>
    </row>
    <row r="23" spans="1:7" x14ac:dyDescent="0.2">
      <c r="A23" s="39" t="s">
        <v>15</v>
      </c>
      <c r="B23" s="40">
        <f>septembre!B23</f>
        <v>2.8000000000000001E-2</v>
      </c>
      <c r="C23" s="26"/>
      <c r="D23" s="41">
        <f>D20*B23</f>
        <v>90.84320000000001</v>
      </c>
      <c r="E23" s="26"/>
      <c r="F23" s="42">
        <f>septembre!G23</f>
        <v>818.93274302890177</v>
      </c>
      <c r="G23" s="63">
        <f>F23+D23</f>
        <v>909.77594302890179</v>
      </c>
    </row>
    <row r="24" spans="1:7" x14ac:dyDescent="0.2">
      <c r="A24" s="39" t="s">
        <v>16</v>
      </c>
      <c r="B24" s="40">
        <f>septembre!B24</f>
        <v>2.5000000000000001E-3</v>
      </c>
      <c r="C24" s="26"/>
      <c r="D24" s="41">
        <f>B24*D20</f>
        <v>8.1110000000000007</v>
      </c>
      <c r="E24" s="26"/>
      <c r="F24" s="43">
        <f>septembre!G24</f>
        <v>72.208500000000015</v>
      </c>
      <c r="G24" s="64">
        <f t="shared" ref="G24:G42" si="0">F24+D24</f>
        <v>80.319500000000019</v>
      </c>
    </row>
    <row r="25" spans="1:7" x14ac:dyDescent="0.2">
      <c r="A25" s="39" t="s">
        <v>17</v>
      </c>
      <c r="B25" s="40">
        <f>septembre!B25</f>
        <v>0.08</v>
      </c>
      <c r="C25" s="26"/>
      <c r="D25" s="41">
        <f>B25*D20</f>
        <v>259.55200000000002</v>
      </c>
      <c r="E25" s="26"/>
      <c r="F25" s="43">
        <f>septembre!G25</f>
        <v>2310.6720000000005</v>
      </c>
      <c r="G25" s="64">
        <f t="shared" si="0"/>
        <v>2570.2240000000006</v>
      </c>
    </row>
    <row r="26" spans="1:7" ht="12.75" thickBot="1" x14ac:dyDescent="0.25">
      <c r="A26" s="39" t="s">
        <v>18</v>
      </c>
      <c r="B26" s="40">
        <f>septembre!B26</f>
        <v>1.4E-2</v>
      </c>
      <c r="C26" s="26"/>
      <c r="D26" s="41">
        <f>B26*(D20-642.73)</f>
        <v>36.423380000000009</v>
      </c>
      <c r="E26" s="26"/>
      <c r="F26" s="46">
        <f>septembre!G26</f>
        <v>325.92431151445089</v>
      </c>
      <c r="G26" s="64">
        <f t="shared" si="0"/>
        <v>362.3476915144509</v>
      </c>
    </row>
    <row r="27" spans="1:7" ht="12.75" thickBot="1" x14ac:dyDescent="0.25">
      <c r="A27" s="100" t="s">
        <v>19</v>
      </c>
      <c r="B27" s="100"/>
      <c r="C27" s="100"/>
      <c r="D27" s="44">
        <f>SUM(D23:D26)</f>
        <v>394.92958000000004</v>
      </c>
      <c r="E27" s="33"/>
      <c r="F27" s="34">
        <f>septembre!G27</f>
        <v>3527.7375545433533</v>
      </c>
      <c r="G27" s="62">
        <f t="shared" si="0"/>
        <v>3922.6671345433533</v>
      </c>
    </row>
    <row r="28" spans="1:7" ht="12.75" thickBot="1" x14ac:dyDescent="0.25">
      <c r="A28" s="9"/>
      <c r="B28" s="40"/>
      <c r="C28" s="26"/>
      <c r="D28" s="33"/>
      <c r="E28" s="33"/>
      <c r="F28" s="26"/>
      <c r="G28" s="68"/>
    </row>
    <row r="29" spans="1:7" ht="12.75" thickBot="1" x14ac:dyDescent="0.25">
      <c r="A29" s="23" t="s">
        <v>20</v>
      </c>
      <c r="B29" s="24"/>
      <c r="C29" s="24"/>
      <c r="D29" s="45"/>
      <c r="E29" s="33"/>
      <c r="F29" s="26"/>
      <c r="G29" s="71"/>
    </row>
    <row r="30" spans="1:7" x14ac:dyDescent="0.2">
      <c r="A30" s="27" t="s">
        <v>21</v>
      </c>
      <c r="B30" s="26"/>
      <c r="C30" s="26"/>
      <c r="D30" s="28">
        <f>septembre!D30</f>
        <v>0</v>
      </c>
      <c r="E30" s="26"/>
      <c r="F30" s="42">
        <f>septembre!G30</f>
        <v>0</v>
      </c>
      <c r="G30" s="64">
        <f>F30+D30</f>
        <v>0</v>
      </c>
    </row>
    <row r="31" spans="1:7" x14ac:dyDescent="0.2">
      <c r="A31" s="27" t="s">
        <v>22</v>
      </c>
      <c r="B31" s="26"/>
      <c r="C31" s="26"/>
      <c r="D31" s="28">
        <f>septembre!D31</f>
        <v>0</v>
      </c>
      <c r="E31" s="26"/>
      <c r="F31" s="43">
        <f>septembre!G31</f>
        <v>0</v>
      </c>
      <c r="G31" s="64">
        <f t="shared" si="0"/>
        <v>0</v>
      </c>
    </row>
    <row r="32" spans="1:7" x14ac:dyDescent="0.2">
      <c r="A32" s="27" t="s">
        <v>23</v>
      </c>
      <c r="B32" s="26"/>
      <c r="C32" s="26"/>
      <c r="D32" s="28">
        <f>septembre!D32</f>
        <v>0</v>
      </c>
      <c r="E32" s="26"/>
      <c r="F32" s="43">
        <f>septembre!G32</f>
        <v>0</v>
      </c>
      <c r="G32" s="64">
        <f t="shared" si="0"/>
        <v>0</v>
      </c>
    </row>
    <row r="33" spans="1:7" ht="12.75" thickBot="1" x14ac:dyDescent="0.25">
      <c r="A33" s="29" t="s">
        <v>24</v>
      </c>
      <c r="B33" s="30"/>
      <c r="C33" s="30"/>
      <c r="D33" s="31">
        <f>septembre!D33</f>
        <v>0</v>
      </c>
      <c r="E33" s="26"/>
      <c r="F33" s="46">
        <f>septembre!G33</f>
        <v>0</v>
      </c>
      <c r="G33" s="65">
        <f t="shared" si="0"/>
        <v>0</v>
      </c>
    </row>
    <row r="34" spans="1:7" ht="12.75" thickBot="1" x14ac:dyDescent="0.25">
      <c r="A34" s="11"/>
      <c r="B34" s="26"/>
      <c r="C34" s="26"/>
      <c r="D34" s="26"/>
      <c r="E34" s="26"/>
      <c r="F34" s="26"/>
      <c r="G34" s="68"/>
    </row>
    <row r="35" spans="1:7" ht="12.75" thickBot="1" x14ac:dyDescent="0.25">
      <c r="A35" s="100" t="s">
        <v>25</v>
      </c>
      <c r="B35" s="100"/>
      <c r="C35" s="100"/>
      <c r="D35" s="44">
        <f>D20-D23-D24-D25-D30-D31-D32-D33</f>
        <v>2885.8938000000007</v>
      </c>
      <c r="E35" s="33"/>
      <c r="F35" s="34">
        <f>septembre!G35</f>
        <v>25681.586756971101</v>
      </c>
      <c r="G35" s="62">
        <f t="shared" si="0"/>
        <v>28567.480556971102</v>
      </c>
    </row>
    <row r="36" spans="1:7" ht="12.75" thickBot="1" x14ac:dyDescent="0.25">
      <c r="A36" s="9"/>
      <c r="B36" s="26"/>
      <c r="C36" s="26"/>
      <c r="D36" s="33"/>
      <c r="E36" s="33"/>
      <c r="F36" s="26"/>
      <c r="G36" s="68"/>
    </row>
    <row r="37" spans="1:7" x14ac:dyDescent="0.2">
      <c r="A37" s="47" t="s">
        <v>26</v>
      </c>
      <c r="B37" s="24"/>
      <c r="C37" s="24"/>
      <c r="D37" s="25"/>
      <c r="E37" s="26"/>
      <c r="F37" s="42">
        <f>septembre!G37</f>
        <v>2104.1999999999998</v>
      </c>
      <c r="G37" s="63">
        <f t="shared" si="0"/>
        <v>2104.1999999999998</v>
      </c>
    </row>
    <row r="38" spans="1:7" x14ac:dyDescent="0.2">
      <c r="A38" s="72" t="s">
        <v>44</v>
      </c>
      <c r="B38" s="26"/>
      <c r="C38" s="26"/>
      <c r="D38" s="28">
        <f>IF(D20&lt;1800,0,IF(D20&lt;=3000,81,IF(D20&gt;=3600,0,81/600*(3600-D20))))</f>
        <v>48.005999999999929</v>
      </c>
      <c r="E38" s="26"/>
      <c r="F38" s="43">
        <f>septembre!G38</f>
        <v>482.71099999999967</v>
      </c>
      <c r="G38" s="64">
        <f t="shared" si="0"/>
        <v>530.71699999999964</v>
      </c>
    </row>
    <row r="39" spans="1:7" x14ac:dyDescent="0.2">
      <c r="A39" s="27" t="s">
        <v>27</v>
      </c>
      <c r="B39" s="26"/>
      <c r="C39" s="26"/>
      <c r="D39" s="28">
        <f>IF(D20&lt;78,0,IF(D20&lt;936,((300+(D20*12-936)*0.029)/12),IF(D20&lt;3333.33,50,IF(D20&gt;6666.5,0,((600-(D20*12-40000)*0.015)/12)))))</f>
        <v>50</v>
      </c>
      <c r="E39" s="26"/>
      <c r="F39" s="43">
        <f>septembre!G39</f>
        <v>450</v>
      </c>
      <c r="G39" s="64">
        <f t="shared" si="0"/>
        <v>500</v>
      </c>
    </row>
    <row r="40" spans="1:7" ht="12.75" thickBot="1" x14ac:dyDescent="0.25">
      <c r="A40" s="29" t="s">
        <v>58</v>
      </c>
      <c r="B40" s="30"/>
      <c r="C40" s="30"/>
      <c r="D40" s="31">
        <f>IF(D20&lt;78,0,IF(D20&lt;3333.33,16,IF(D20&lt;6667,((16-(D20-3333.33)*0.0042)),0)))</f>
        <v>16</v>
      </c>
      <c r="E40" s="81"/>
      <c r="F40" s="46">
        <f>septembre!G40</f>
        <v>146</v>
      </c>
      <c r="G40" s="65">
        <f t="shared" ref="G40" si="1">F40+D40</f>
        <v>162</v>
      </c>
    </row>
    <row r="41" spans="1:7" ht="12.75" thickBot="1" x14ac:dyDescent="0.25">
      <c r="A41" s="11"/>
      <c r="B41" s="26"/>
      <c r="C41" s="26"/>
      <c r="D41" s="22"/>
      <c r="E41" s="22"/>
      <c r="F41" s="26"/>
      <c r="G41" s="68"/>
    </row>
    <row r="42" spans="1:7" ht="12.75" thickBot="1" x14ac:dyDescent="0.25">
      <c r="A42" s="100" t="s">
        <v>28</v>
      </c>
      <c r="B42" s="100"/>
      <c r="C42" s="100"/>
      <c r="D42" s="48">
        <f>D20-D27-D37+D38+D39+D40</f>
        <v>2963.4764200000004</v>
      </c>
      <c r="E42" s="26"/>
      <c r="F42" s="34">
        <f>septembre!G42</f>
        <v>24830.080596901738</v>
      </c>
      <c r="G42" s="62">
        <f t="shared" si="0"/>
        <v>27793.557016901737</v>
      </c>
    </row>
    <row r="43" spans="1:7" ht="12.75" thickBot="1" x14ac:dyDescent="0.25">
      <c r="A43" s="49"/>
      <c r="B43" s="49"/>
      <c r="C43" s="49"/>
      <c r="D43" s="26"/>
      <c r="E43" s="11"/>
      <c r="F43" s="11" t="s">
        <v>29</v>
      </c>
      <c r="G43" s="68"/>
    </row>
    <row r="44" spans="1:7" ht="12.75" thickBot="1" x14ac:dyDescent="0.25">
      <c r="A44" s="11"/>
      <c r="B44" s="11"/>
      <c r="C44" s="11"/>
      <c r="D44" s="11"/>
      <c r="E44" s="11"/>
      <c r="F44" s="69" t="s">
        <v>30</v>
      </c>
      <c r="G44" s="62">
        <f>D42</f>
        <v>2963.4764200000004</v>
      </c>
    </row>
    <row r="45" spans="1:7" ht="12.75" thickBot="1" x14ac:dyDescent="0.25">
      <c r="A45" s="11"/>
      <c r="B45" s="11"/>
      <c r="C45" s="11"/>
      <c r="D45" s="11"/>
      <c r="E45" s="11"/>
      <c r="F45" s="9"/>
      <c r="G45" s="6"/>
    </row>
    <row r="46" spans="1:7" ht="12.75" thickBot="1" x14ac:dyDescent="0.25">
      <c r="A46" s="50" t="s">
        <v>31</v>
      </c>
      <c r="B46" s="11"/>
      <c r="C46" s="38"/>
      <c r="D46" s="38"/>
      <c r="E46" s="38"/>
      <c r="F46" s="38"/>
      <c r="G46" s="6"/>
    </row>
    <row r="47" spans="1:7" ht="12.75" thickBot="1" x14ac:dyDescent="0.25">
      <c r="A47" s="51" t="s">
        <v>55</v>
      </c>
      <c r="B47" s="8">
        <f>+septembre!B47</f>
        <v>208</v>
      </c>
      <c r="C47" s="100" t="s">
        <v>32</v>
      </c>
      <c r="D47" s="101"/>
      <c r="E47" s="49"/>
      <c r="F47" s="88" t="s">
        <v>33</v>
      </c>
      <c r="G47" s="89"/>
    </row>
    <row r="48" spans="1:7" x14ac:dyDescent="0.2">
      <c r="A48" s="82" t="s">
        <v>56</v>
      </c>
      <c r="B48" s="8">
        <f>+septembre!B48</f>
        <v>-4</v>
      </c>
      <c r="C48" s="51" t="s">
        <v>34</v>
      </c>
      <c r="D48" s="52">
        <f>D49*D50</f>
        <v>3244.4000000000005</v>
      </c>
      <c r="E48" s="26"/>
      <c r="F48" s="53" t="s">
        <v>35</v>
      </c>
      <c r="G48" s="66" t="str">
        <f>septembre!G48</f>
        <v>D608388-2022</v>
      </c>
    </row>
    <row r="49" spans="1:7" x14ac:dyDescent="0.2">
      <c r="A49" s="54" t="s">
        <v>36</v>
      </c>
      <c r="B49" s="8">
        <f>septembre!B49+B18</f>
        <v>133</v>
      </c>
      <c r="C49" s="54" t="s">
        <v>37</v>
      </c>
      <c r="D49" s="55">
        <f>septembre!D49</f>
        <v>173</v>
      </c>
      <c r="E49" s="26"/>
      <c r="F49" s="56" t="s">
        <v>38</v>
      </c>
      <c r="G49" s="57">
        <f>septembre!G49</f>
        <v>1</v>
      </c>
    </row>
    <row r="50" spans="1:7" ht="12.75" thickBot="1" x14ac:dyDescent="0.25">
      <c r="A50" s="58" t="s">
        <v>39</v>
      </c>
      <c r="B50" s="8">
        <f>(B48+B47)-B49</f>
        <v>71</v>
      </c>
      <c r="C50" s="58" t="s">
        <v>40</v>
      </c>
      <c r="D50" s="59">
        <f>septembre!D50</f>
        <v>18.753757225433528</v>
      </c>
      <c r="E50" s="26"/>
      <c r="F50" s="60" t="s">
        <v>41</v>
      </c>
      <c r="G50" s="74" t="str">
        <f>septembre!G50</f>
        <v>-</v>
      </c>
    </row>
    <row r="51" spans="1:7" x14ac:dyDescent="0.2">
      <c r="A51" s="9"/>
      <c r="B51" s="8"/>
      <c r="C51" s="9"/>
      <c r="D51" s="26"/>
      <c r="E51" s="26"/>
      <c r="F51" s="11"/>
      <c r="G51" s="6"/>
    </row>
    <row r="52" spans="1:7" x14ac:dyDescent="0.2">
      <c r="A52" s="90" t="s">
        <v>42</v>
      </c>
      <c r="B52" s="90"/>
      <c r="C52" s="90"/>
      <c r="D52" s="90"/>
      <c r="E52" s="11"/>
      <c r="F52" s="11"/>
      <c r="G52" s="6"/>
    </row>
    <row r="57" spans="1:7" ht="15" x14ac:dyDescent="0.25">
      <c r="B57"/>
    </row>
  </sheetData>
  <mergeCells count="15">
    <mergeCell ref="F10:G10"/>
    <mergeCell ref="A2:G2"/>
    <mergeCell ref="F5:G5"/>
    <mergeCell ref="F6:G6"/>
    <mergeCell ref="F7:G7"/>
    <mergeCell ref="F9:G9"/>
    <mergeCell ref="F47:G47"/>
    <mergeCell ref="A52:D52"/>
    <mergeCell ref="F11:G11"/>
    <mergeCell ref="A12:D12"/>
    <mergeCell ref="A20:C20"/>
    <mergeCell ref="A27:C27"/>
    <mergeCell ref="A35:C35"/>
    <mergeCell ref="A42:C42"/>
    <mergeCell ref="C47:D47"/>
  </mergeCells>
  <pageMargins left="0.7" right="0.7" top="0.75" bottom="0.75" header="0.3" footer="0.3"/>
  <pageSetup paperSize="9" orientation="portrait" r:id="rId1"/>
  <headerFooter>
    <oddFooter>&amp;LGroupe Advensys Luxembourg SA
contact@advensys-conseil.lu&amp;C
Grand rue 34
L-9710 Clervaux&amp;R+352 28 79 76 26       
+352 661 11 22 60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3EF05-09CE-45EF-A0AF-563EE51BA810}">
  <sheetPr codeName="Feuil11"/>
  <dimension ref="A1:H57"/>
  <sheetViews>
    <sheetView topLeftCell="A26" zoomScaleNormal="100" workbookViewId="0">
      <selection activeCell="D38" sqref="D38:D40"/>
    </sheetView>
  </sheetViews>
  <sheetFormatPr baseColWidth="10" defaultColWidth="11.42578125" defaultRowHeight="12" x14ac:dyDescent="0.2"/>
  <cols>
    <col min="1" max="1" width="20.140625" style="1" bestFit="1" customWidth="1"/>
    <col min="2" max="2" width="10.42578125" style="1" customWidth="1"/>
    <col min="3" max="3" width="15" style="1" customWidth="1"/>
    <col min="4" max="4" width="8.7109375" style="1" customWidth="1"/>
    <col min="5" max="5" width="5" style="1" customWidth="1"/>
    <col min="6" max="6" width="13.85546875" style="1" customWidth="1"/>
    <col min="7" max="7" width="14.28515625" style="1" customWidth="1"/>
    <col min="8" max="16384" width="11.42578125" style="1"/>
  </cols>
  <sheetData>
    <row r="1" spans="1:8" ht="12.75" thickBot="1" x14ac:dyDescent="0.25"/>
    <row r="2" spans="1:8" ht="15.75" thickBot="1" x14ac:dyDescent="0.3">
      <c r="A2" s="85" t="s">
        <v>45</v>
      </c>
      <c r="B2" s="86"/>
      <c r="C2" s="86"/>
      <c r="D2" s="86"/>
      <c r="E2" s="86"/>
      <c r="F2" s="86"/>
      <c r="G2" s="87"/>
      <c r="H2" s="2"/>
    </row>
    <row r="4" spans="1:8" ht="12.75" thickBot="1" x14ac:dyDescent="0.25"/>
    <row r="5" spans="1:8" x14ac:dyDescent="0.2">
      <c r="A5" s="3" t="s">
        <v>0</v>
      </c>
      <c r="B5" s="61">
        <f>octobre!B5</f>
        <v>2</v>
      </c>
      <c r="C5" s="4"/>
      <c r="D5" s="5"/>
      <c r="E5" s="6"/>
      <c r="F5" s="91" t="str">
        <f>octobre!F5</f>
        <v>Groupe Advensys Luxembourg S.A</v>
      </c>
      <c r="G5" s="92"/>
    </row>
    <row r="6" spans="1:8" x14ac:dyDescent="0.2">
      <c r="A6" s="7" t="s">
        <v>1</v>
      </c>
      <c r="B6" s="67" t="str">
        <f>octobre!B6</f>
        <v>968,04</v>
      </c>
      <c r="C6" s="9"/>
      <c r="D6" s="10"/>
      <c r="E6" s="6"/>
      <c r="F6" s="93" t="str">
        <f>octobre!F6</f>
        <v>Duarrefstrooss 49</v>
      </c>
      <c r="G6" s="94"/>
    </row>
    <row r="7" spans="1:8" ht="12.75" thickBot="1" x14ac:dyDescent="0.25">
      <c r="A7" s="7" t="s">
        <v>2</v>
      </c>
      <c r="B7" s="67" t="str">
        <f>octobre!B7</f>
        <v xml:space="preserve">Comptable </v>
      </c>
      <c r="C7" s="9"/>
      <c r="D7" s="10"/>
      <c r="E7" s="6"/>
      <c r="F7" s="95" t="str">
        <f>octobre!F7</f>
        <v>L-9964 Huldange</v>
      </c>
      <c r="G7" s="96"/>
    </row>
    <row r="8" spans="1:8" ht="12.75" thickBot="1" x14ac:dyDescent="0.25">
      <c r="A8" s="7" t="s">
        <v>3</v>
      </c>
      <c r="B8" s="73">
        <f>octobre!B8</f>
        <v>44455</v>
      </c>
      <c r="C8" s="9"/>
      <c r="D8" s="10"/>
      <c r="E8" s="6"/>
      <c r="F8" s="67"/>
      <c r="G8" s="12"/>
    </row>
    <row r="9" spans="1:8" x14ac:dyDescent="0.2">
      <c r="A9" s="7" t="s">
        <v>4</v>
      </c>
      <c r="B9" s="67" t="str">
        <f>octobre!B9</f>
        <v>1996 0905 124 86</v>
      </c>
      <c r="C9" s="9"/>
      <c r="D9" s="10"/>
      <c r="E9" s="6"/>
      <c r="F9" s="91" t="str">
        <f>octobre!F9</f>
        <v>BERTHE Alexandra</v>
      </c>
      <c r="G9" s="92"/>
    </row>
    <row r="10" spans="1:8" x14ac:dyDescent="0.2">
      <c r="A10" s="7" t="s">
        <v>5</v>
      </c>
      <c r="B10" s="67">
        <f>octobre!B10</f>
        <v>20152206748</v>
      </c>
      <c r="C10" s="9"/>
      <c r="D10" s="10"/>
      <c r="E10" s="6"/>
      <c r="F10" s="93" t="str">
        <f>octobre!F10</f>
        <v>93, Duarrefstrooss</v>
      </c>
      <c r="G10" s="94"/>
    </row>
    <row r="11" spans="1:8" ht="12.75" thickBot="1" x14ac:dyDescent="0.25">
      <c r="A11" s="13" t="s">
        <v>6</v>
      </c>
      <c r="B11" s="14" t="s">
        <v>53</v>
      </c>
      <c r="C11" s="15"/>
      <c r="D11" s="16"/>
      <c r="E11" s="6"/>
      <c r="F11" s="95" t="str">
        <f>octobre!F11</f>
        <v>L-9964 Huldange</v>
      </c>
      <c r="G11" s="96"/>
    </row>
    <row r="12" spans="1:8" x14ac:dyDescent="0.2">
      <c r="A12" s="97" t="s">
        <v>7</v>
      </c>
      <c r="B12" s="97"/>
      <c r="C12" s="97"/>
      <c r="D12" s="97"/>
      <c r="E12" s="6"/>
      <c r="F12" s="6"/>
      <c r="G12" s="6"/>
    </row>
    <row r="13" spans="1:8" ht="12.75" thickBot="1" x14ac:dyDescent="0.25">
      <c r="A13" s="6"/>
      <c r="B13" s="6"/>
      <c r="C13" s="6"/>
      <c r="D13" s="6"/>
      <c r="E13" s="6"/>
      <c r="F13" s="6"/>
      <c r="G13" s="6"/>
    </row>
    <row r="14" spans="1:8" ht="23.25" thickBot="1" x14ac:dyDescent="0.25">
      <c r="A14" s="21" t="s">
        <v>8</v>
      </c>
      <c r="B14" s="17" t="s">
        <v>46</v>
      </c>
      <c r="C14" s="18" t="s">
        <v>9</v>
      </c>
      <c r="D14" s="19" t="s">
        <v>10</v>
      </c>
      <c r="E14" s="20"/>
      <c r="F14" s="21" t="s">
        <v>11</v>
      </c>
      <c r="G14" s="70" t="s">
        <v>10</v>
      </c>
    </row>
    <row r="15" spans="1:8" ht="12.75" thickBot="1" x14ac:dyDescent="0.25">
      <c r="A15" s="11"/>
      <c r="B15" s="22"/>
      <c r="C15" s="22"/>
      <c r="D15" s="22"/>
      <c r="E15" s="22"/>
      <c r="F15" s="22"/>
      <c r="G15" s="6"/>
    </row>
    <row r="16" spans="1:8" x14ac:dyDescent="0.2">
      <c r="A16" s="23" t="s">
        <v>12</v>
      </c>
      <c r="B16" s="24">
        <f>D49</f>
        <v>173</v>
      </c>
      <c r="C16" s="24">
        <f>D50</f>
        <v>18.753757225433528</v>
      </c>
      <c r="D16" s="25">
        <f>B16*C16</f>
        <v>3244.4000000000005</v>
      </c>
      <c r="E16" s="26"/>
      <c r="F16" s="26"/>
      <c r="G16" s="6"/>
    </row>
    <row r="17" spans="1:7" x14ac:dyDescent="0.2">
      <c r="A17" s="27" t="s">
        <v>43</v>
      </c>
      <c r="B17" s="26">
        <v>8</v>
      </c>
      <c r="C17" s="26">
        <v>0</v>
      </c>
      <c r="D17" s="28">
        <v>0</v>
      </c>
      <c r="E17" s="26"/>
      <c r="F17" s="26"/>
      <c r="G17" s="6"/>
    </row>
    <row r="18" spans="1:7" x14ac:dyDescent="0.2">
      <c r="A18" s="27" t="s">
        <v>31</v>
      </c>
      <c r="B18" s="26">
        <v>0</v>
      </c>
      <c r="C18" s="26">
        <v>0</v>
      </c>
      <c r="D18" s="28">
        <v>0</v>
      </c>
      <c r="E18" s="26"/>
      <c r="F18" s="26"/>
      <c r="G18" s="6"/>
    </row>
    <row r="19" spans="1:7" ht="12.75" thickBot="1" x14ac:dyDescent="0.25">
      <c r="A19" s="29" t="s">
        <v>48</v>
      </c>
      <c r="B19" s="30"/>
      <c r="C19" s="30"/>
      <c r="D19" s="31"/>
      <c r="E19" s="26"/>
      <c r="F19" s="26"/>
      <c r="G19" s="6"/>
    </row>
    <row r="20" spans="1:7" ht="12.75" thickBot="1" x14ac:dyDescent="0.25">
      <c r="A20" s="102" t="s">
        <v>13</v>
      </c>
      <c r="B20" s="102"/>
      <c r="C20" s="102"/>
      <c r="D20" s="32">
        <f>D16</f>
        <v>3244.4000000000005</v>
      </c>
      <c r="E20" s="33"/>
      <c r="F20" s="42">
        <f>octobre!G20</f>
        <v>32127.800000000007</v>
      </c>
      <c r="G20" s="62">
        <f>F20+D20</f>
        <v>35372.200000000004</v>
      </c>
    </row>
    <row r="21" spans="1:7" ht="12.75" thickBot="1" x14ac:dyDescent="0.25">
      <c r="A21" s="9"/>
      <c r="B21" s="26"/>
      <c r="C21" s="26"/>
      <c r="D21" s="33"/>
      <c r="E21" s="33"/>
      <c r="F21" s="24"/>
      <c r="G21" s="68"/>
    </row>
    <row r="22" spans="1:7" ht="12.75" thickBot="1" x14ac:dyDescent="0.25">
      <c r="A22" s="35" t="s">
        <v>14</v>
      </c>
      <c r="B22" s="36"/>
      <c r="C22" s="36"/>
      <c r="D22" s="37"/>
      <c r="E22" s="9"/>
      <c r="F22" s="26"/>
      <c r="G22" s="68"/>
    </row>
    <row r="23" spans="1:7" x14ac:dyDescent="0.2">
      <c r="A23" s="39" t="s">
        <v>15</v>
      </c>
      <c r="B23" s="40">
        <f>octobre!B23</f>
        <v>2.8000000000000001E-2</v>
      </c>
      <c r="C23" s="26"/>
      <c r="D23" s="41">
        <f>D20*B23</f>
        <v>90.84320000000001</v>
      </c>
      <c r="E23" s="26"/>
      <c r="F23" s="42">
        <f>octobre!G23</f>
        <v>909.77594302890179</v>
      </c>
      <c r="G23" s="63">
        <f>F23+D23</f>
        <v>1000.6191430289018</v>
      </c>
    </row>
    <row r="24" spans="1:7" x14ac:dyDescent="0.2">
      <c r="A24" s="39" t="s">
        <v>16</v>
      </c>
      <c r="B24" s="40">
        <f>octobre!B24</f>
        <v>2.5000000000000001E-3</v>
      </c>
      <c r="C24" s="26"/>
      <c r="D24" s="41">
        <f>B24*D20</f>
        <v>8.1110000000000007</v>
      </c>
      <c r="E24" s="26"/>
      <c r="F24" s="43">
        <f>octobre!G24</f>
        <v>80.319500000000019</v>
      </c>
      <c r="G24" s="64">
        <f t="shared" ref="G24:G42" si="0">F24+D24</f>
        <v>88.430500000000023</v>
      </c>
    </row>
    <row r="25" spans="1:7" x14ac:dyDescent="0.2">
      <c r="A25" s="39" t="s">
        <v>17</v>
      </c>
      <c r="B25" s="40">
        <f>octobre!B25</f>
        <v>0.08</v>
      </c>
      <c r="C25" s="26"/>
      <c r="D25" s="41">
        <f>B25*D20</f>
        <v>259.55200000000002</v>
      </c>
      <c r="E25" s="26"/>
      <c r="F25" s="43">
        <f>octobre!G25</f>
        <v>2570.2240000000006</v>
      </c>
      <c r="G25" s="64">
        <f t="shared" si="0"/>
        <v>2829.7760000000007</v>
      </c>
    </row>
    <row r="26" spans="1:7" ht="12.75" thickBot="1" x14ac:dyDescent="0.25">
      <c r="A26" s="39" t="s">
        <v>18</v>
      </c>
      <c r="B26" s="40">
        <f>octobre!B26</f>
        <v>1.4E-2</v>
      </c>
      <c r="C26" s="26"/>
      <c r="D26" s="41">
        <f>B26*(D20-642.73)</f>
        <v>36.423380000000009</v>
      </c>
      <c r="E26" s="26"/>
      <c r="F26" s="46">
        <f>octobre!G26</f>
        <v>362.3476915144509</v>
      </c>
      <c r="G26" s="64">
        <f t="shared" si="0"/>
        <v>398.77107151445091</v>
      </c>
    </row>
    <row r="27" spans="1:7" ht="12.75" thickBot="1" x14ac:dyDescent="0.25">
      <c r="A27" s="100" t="s">
        <v>19</v>
      </c>
      <c r="B27" s="100"/>
      <c r="C27" s="100"/>
      <c r="D27" s="44">
        <f>SUM(D23:D26)</f>
        <v>394.92958000000004</v>
      </c>
      <c r="E27" s="33"/>
      <c r="F27" s="34">
        <f>octobre!G27</f>
        <v>3922.6671345433533</v>
      </c>
      <c r="G27" s="62">
        <f t="shared" si="0"/>
        <v>4317.5967145433533</v>
      </c>
    </row>
    <row r="28" spans="1:7" ht="12.75" thickBot="1" x14ac:dyDescent="0.25">
      <c r="A28" s="9"/>
      <c r="B28" s="40"/>
      <c r="C28" s="26"/>
      <c r="D28" s="33"/>
      <c r="E28" s="33"/>
      <c r="F28" s="26"/>
      <c r="G28" s="68"/>
    </row>
    <row r="29" spans="1:7" ht="12.75" thickBot="1" x14ac:dyDescent="0.25">
      <c r="A29" s="23" t="s">
        <v>20</v>
      </c>
      <c r="B29" s="24"/>
      <c r="C29" s="24"/>
      <c r="D29" s="45"/>
      <c r="E29" s="33"/>
      <c r="F29" s="26"/>
      <c r="G29" s="71"/>
    </row>
    <row r="30" spans="1:7" x14ac:dyDescent="0.2">
      <c r="A30" s="27" t="s">
        <v>21</v>
      </c>
      <c r="B30" s="26"/>
      <c r="C30" s="26"/>
      <c r="D30" s="28">
        <f>octobre!D30</f>
        <v>0</v>
      </c>
      <c r="E30" s="26"/>
      <c r="F30" s="42">
        <f>octobre!G30</f>
        <v>0</v>
      </c>
      <c r="G30" s="64">
        <f>F30+D30</f>
        <v>0</v>
      </c>
    </row>
    <row r="31" spans="1:7" x14ac:dyDescent="0.2">
      <c r="A31" s="27" t="s">
        <v>22</v>
      </c>
      <c r="B31" s="26"/>
      <c r="C31" s="26"/>
      <c r="D31" s="28">
        <f>octobre!D31</f>
        <v>0</v>
      </c>
      <c r="E31" s="26"/>
      <c r="F31" s="43">
        <f>octobre!G31</f>
        <v>0</v>
      </c>
      <c r="G31" s="64">
        <f t="shared" si="0"/>
        <v>0</v>
      </c>
    </row>
    <row r="32" spans="1:7" x14ac:dyDescent="0.2">
      <c r="A32" s="27" t="s">
        <v>23</v>
      </c>
      <c r="B32" s="26"/>
      <c r="C32" s="26"/>
      <c r="D32" s="28">
        <f>octobre!D32</f>
        <v>0</v>
      </c>
      <c r="E32" s="26"/>
      <c r="F32" s="43">
        <f>octobre!G32</f>
        <v>0</v>
      </c>
      <c r="G32" s="64">
        <f t="shared" si="0"/>
        <v>0</v>
      </c>
    </row>
    <row r="33" spans="1:7" ht="12.75" thickBot="1" x14ac:dyDescent="0.25">
      <c r="A33" s="29" t="s">
        <v>24</v>
      </c>
      <c r="B33" s="30"/>
      <c r="C33" s="30"/>
      <c r="D33" s="31">
        <f>octobre!D33</f>
        <v>0</v>
      </c>
      <c r="E33" s="26"/>
      <c r="F33" s="46">
        <f>octobre!G33</f>
        <v>0</v>
      </c>
      <c r="G33" s="65">
        <f t="shared" si="0"/>
        <v>0</v>
      </c>
    </row>
    <row r="34" spans="1:7" ht="12.75" thickBot="1" x14ac:dyDescent="0.25">
      <c r="A34" s="11"/>
      <c r="B34" s="26"/>
      <c r="C34" s="26"/>
      <c r="D34" s="26"/>
      <c r="E34" s="26"/>
      <c r="F34" s="26"/>
      <c r="G34" s="68"/>
    </row>
    <row r="35" spans="1:7" ht="12.75" thickBot="1" x14ac:dyDescent="0.25">
      <c r="A35" s="100" t="s">
        <v>25</v>
      </c>
      <c r="B35" s="100"/>
      <c r="C35" s="100"/>
      <c r="D35" s="44">
        <f>D20-D23-D24-D25-D30-D31-D32-D33</f>
        <v>2885.8938000000007</v>
      </c>
      <c r="E35" s="33"/>
      <c r="F35" s="34">
        <f>octobre!G35</f>
        <v>28567.480556971102</v>
      </c>
      <c r="G35" s="62">
        <f t="shared" si="0"/>
        <v>31453.374356971104</v>
      </c>
    </row>
    <row r="36" spans="1:7" ht="12.75" thickBot="1" x14ac:dyDescent="0.25">
      <c r="A36" s="9"/>
      <c r="B36" s="26"/>
      <c r="C36" s="26"/>
      <c r="D36" s="33"/>
      <c r="E36" s="33"/>
      <c r="F36" s="26"/>
      <c r="G36" s="68"/>
    </row>
    <row r="37" spans="1:7" x14ac:dyDescent="0.2">
      <c r="A37" s="47" t="s">
        <v>26</v>
      </c>
      <c r="B37" s="24"/>
      <c r="C37" s="24"/>
      <c r="D37" s="25"/>
      <c r="E37" s="26"/>
      <c r="F37" s="42">
        <f>octobre!G37</f>
        <v>2104.1999999999998</v>
      </c>
      <c r="G37" s="63">
        <f t="shared" si="0"/>
        <v>2104.1999999999998</v>
      </c>
    </row>
    <row r="38" spans="1:7" x14ac:dyDescent="0.2">
      <c r="A38" s="72" t="s">
        <v>44</v>
      </c>
      <c r="B38" s="26"/>
      <c r="C38" s="26"/>
      <c r="D38" s="28">
        <f>IF(D20&lt;1800,0,IF(D20&lt;=3000,81,IF(D20&gt;=3600,0,81/600*(3600-D20))))</f>
        <v>48.005999999999929</v>
      </c>
      <c r="E38" s="26"/>
      <c r="F38" s="43">
        <f>octobre!G38</f>
        <v>530.71699999999964</v>
      </c>
      <c r="G38" s="64">
        <f t="shared" si="0"/>
        <v>578.72299999999962</v>
      </c>
    </row>
    <row r="39" spans="1:7" x14ac:dyDescent="0.2">
      <c r="A39" s="27" t="s">
        <v>27</v>
      </c>
      <c r="B39" s="26"/>
      <c r="C39" s="26"/>
      <c r="D39" s="28">
        <f>IF(D20&lt;78,0,IF(D20&lt;936,((300+(D20*12-936)*0.029)/12),IF(D20&lt;3333.33,50,IF(D20&gt;6666.5,0,((600-(D20*12-40000)*0.015)/12)))))</f>
        <v>50</v>
      </c>
      <c r="E39" s="26"/>
      <c r="F39" s="43">
        <f>octobre!G39</f>
        <v>500</v>
      </c>
      <c r="G39" s="64">
        <f t="shared" si="0"/>
        <v>550</v>
      </c>
    </row>
    <row r="40" spans="1:7" ht="12.75" thickBot="1" x14ac:dyDescent="0.25">
      <c r="A40" s="29" t="s">
        <v>58</v>
      </c>
      <c r="B40" s="30"/>
      <c r="C40" s="30"/>
      <c r="D40" s="31">
        <f>IF(D20&lt;78,0,IF(D20&lt;3333.33,16,IF(D20&lt;6667,((16-(D20-3333.33)*0.0042)),0)))</f>
        <v>16</v>
      </c>
      <c r="E40" s="81"/>
      <c r="F40" s="46">
        <f>octobre!G40</f>
        <v>162</v>
      </c>
      <c r="G40" s="65">
        <f t="shared" ref="G40" si="1">F40+D40</f>
        <v>178</v>
      </c>
    </row>
    <row r="41" spans="1:7" ht="12.75" thickBot="1" x14ac:dyDescent="0.25">
      <c r="A41" s="11"/>
      <c r="B41" s="26"/>
      <c r="C41" s="26"/>
      <c r="D41" s="22"/>
      <c r="E41" s="22"/>
      <c r="F41" s="26"/>
      <c r="G41" s="68"/>
    </row>
    <row r="42" spans="1:7" ht="12.75" thickBot="1" x14ac:dyDescent="0.25">
      <c r="A42" s="100" t="s">
        <v>28</v>
      </c>
      <c r="B42" s="100"/>
      <c r="C42" s="100"/>
      <c r="D42" s="48">
        <f>D20-D27-D37+D38+D39+D40</f>
        <v>2963.4764200000004</v>
      </c>
      <c r="E42" s="26"/>
      <c r="F42" s="34">
        <f>octobre!G42</f>
        <v>27793.557016901737</v>
      </c>
      <c r="G42" s="62">
        <f t="shared" si="0"/>
        <v>30757.033436901736</v>
      </c>
    </row>
    <row r="43" spans="1:7" ht="12.75" thickBot="1" x14ac:dyDescent="0.25">
      <c r="A43" s="49"/>
      <c r="B43" s="49"/>
      <c r="C43" s="49"/>
      <c r="D43" s="26"/>
      <c r="E43" s="11"/>
      <c r="F43" s="11" t="s">
        <v>29</v>
      </c>
      <c r="G43" s="68"/>
    </row>
    <row r="44" spans="1:7" ht="12.75" thickBot="1" x14ac:dyDescent="0.25">
      <c r="A44" s="11"/>
      <c r="B44" s="11"/>
      <c r="C44" s="11"/>
      <c r="D44" s="11"/>
      <c r="E44" s="11"/>
      <c r="F44" s="69" t="s">
        <v>30</v>
      </c>
      <c r="G44" s="62">
        <f>D42</f>
        <v>2963.4764200000004</v>
      </c>
    </row>
    <row r="45" spans="1:7" ht="12.75" thickBot="1" x14ac:dyDescent="0.25">
      <c r="A45" s="11"/>
      <c r="B45" s="11"/>
      <c r="C45" s="11"/>
      <c r="D45" s="11"/>
      <c r="E45" s="11"/>
      <c r="F45" s="9"/>
      <c r="G45" s="6"/>
    </row>
    <row r="46" spans="1:7" ht="12.75" thickBot="1" x14ac:dyDescent="0.25">
      <c r="A46" s="50" t="s">
        <v>31</v>
      </c>
      <c r="B46" s="11"/>
      <c r="C46" s="38"/>
      <c r="D46" s="38"/>
      <c r="E46" s="38"/>
      <c r="F46" s="38"/>
      <c r="G46" s="6"/>
    </row>
    <row r="47" spans="1:7" ht="12.75" thickBot="1" x14ac:dyDescent="0.25">
      <c r="A47" s="51" t="s">
        <v>55</v>
      </c>
      <c r="B47" s="8">
        <f>octobre!B47</f>
        <v>208</v>
      </c>
      <c r="C47" s="100" t="s">
        <v>32</v>
      </c>
      <c r="D47" s="101"/>
      <c r="E47" s="49"/>
      <c r="F47" s="88" t="s">
        <v>33</v>
      </c>
      <c r="G47" s="89"/>
    </row>
    <row r="48" spans="1:7" x14ac:dyDescent="0.2">
      <c r="A48" s="82" t="s">
        <v>56</v>
      </c>
      <c r="B48" s="8">
        <f>+octobre!B48</f>
        <v>-4</v>
      </c>
      <c r="C48" s="51" t="s">
        <v>34</v>
      </c>
      <c r="D48" s="52">
        <f>D49*D50</f>
        <v>3244.4000000000005</v>
      </c>
      <c r="E48" s="26"/>
      <c r="F48" s="53" t="s">
        <v>35</v>
      </c>
      <c r="G48" s="66" t="str">
        <f>octobre!G48</f>
        <v>D608388-2022</v>
      </c>
    </row>
    <row r="49" spans="1:7" x14ac:dyDescent="0.2">
      <c r="A49" s="54" t="s">
        <v>36</v>
      </c>
      <c r="B49" s="8">
        <f>octobre!B49+B18</f>
        <v>133</v>
      </c>
      <c r="C49" s="54" t="s">
        <v>37</v>
      </c>
      <c r="D49" s="55">
        <f>octobre!D49</f>
        <v>173</v>
      </c>
      <c r="E49" s="26"/>
      <c r="F49" s="56" t="s">
        <v>38</v>
      </c>
      <c r="G49" s="57">
        <f>octobre!G49</f>
        <v>1</v>
      </c>
    </row>
    <row r="50" spans="1:7" ht="12.75" thickBot="1" x14ac:dyDescent="0.25">
      <c r="A50" s="58" t="s">
        <v>39</v>
      </c>
      <c r="B50" s="8">
        <f>(B48+B47)-B49</f>
        <v>71</v>
      </c>
      <c r="C50" s="58" t="s">
        <v>40</v>
      </c>
      <c r="D50" s="59">
        <f>octobre!D50</f>
        <v>18.753757225433528</v>
      </c>
      <c r="E50" s="26"/>
      <c r="F50" s="60" t="s">
        <v>41</v>
      </c>
      <c r="G50" s="74" t="str">
        <f>octobre!G50</f>
        <v>-</v>
      </c>
    </row>
    <row r="51" spans="1:7" x14ac:dyDescent="0.2">
      <c r="A51" s="9"/>
      <c r="B51" s="8"/>
      <c r="C51" s="9"/>
      <c r="D51" s="26"/>
      <c r="E51" s="26"/>
      <c r="F51" s="11"/>
      <c r="G51" s="6"/>
    </row>
    <row r="52" spans="1:7" x14ac:dyDescent="0.2">
      <c r="A52" s="90" t="s">
        <v>42</v>
      </c>
      <c r="B52" s="90"/>
      <c r="C52" s="90"/>
      <c r="D52" s="90"/>
      <c r="E52" s="11"/>
      <c r="F52" s="11"/>
      <c r="G52" s="6"/>
    </row>
    <row r="57" spans="1:7" ht="15" x14ac:dyDescent="0.25">
      <c r="B57"/>
    </row>
  </sheetData>
  <mergeCells count="15">
    <mergeCell ref="F10:G10"/>
    <mergeCell ref="A2:G2"/>
    <mergeCell ref="F5:G5"/>
    <mergeCell ref="F6:G6"/>
    <mergeCell ref="F7:G7"/>
    <mergeCell ref="F9:G9"/>
    <mergeCell ref="F47:G47"/>
    <mergeCell ref="A52:D52"/>
    <mergeCell ref="F11:G11"/>
    <mergeCell ref="A12:D12"/>
    <mergeCell ref="A20:C20"/>
    <mergeCell ref="A27:C27"/>
    <mergeCell ref="A35:C35"/>
    <mergeCell ref="A42:C42"/>
    <mergeCell ref="C47:D47"/>
  </mergeCells>
  <pageMargins left="0.7" right="0.7" top="0.75" bottom="0.75" header="0.3" footer="0.3"/>
  <pageSetup paperSize="9" orientation="portrait" r:id="rId1"/>
  <headerFooter>
    <oddFooter>&amp;LGroupe Advensys Luxembourg SA
contact@advensys-conseil.lu&amp;C
Grand rue 34
L-9710 Clervaux&amp;R+352 28 79 76 26       
+352 661 11 22 60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2D4A1-FEBF-41FB-A888-4F00369D5997}">
  <sheetPr codeName="Feuil12"/>
  <dimension ref="A1:H58"/>
  <sheetViews>
    <sheetView topLeftCell="A17" zoomScaleNormal="100" workbookViewId="0">
      <selection activeCell="J39" sqref="J39"/>
    </sheetView>
  </sheetViews>
  <sheetFormatPr baseColWidth="10" defaultColWidth="11.42578125" defaultRowHeight="12" x14ac:dyDescent="0.2"/>
  <cols>
    <col min="1" max="1" width="20.140625" style="1" bestFit="1" customWidth="1"/>
    <col min="2" max="2" width="10.42578125" style="1" customWidth="1"/>
    <col min="3" max="3" width="15" style="1" customWidth="1"/>
    <col min="4" max="4" width="8.7109375" style="1" customWidth="1"/>
    <col min="5" max="5" width="5" style="1" customWidth="1"/>
    <col min="6" max="6" width="13.85546875" style="1" customWidth="1"/>
    <col min="7" max="7" width="14.28515625" style="1" customWidth="1"/>
    <col min="8" max="16384" width="11.42578125" style="1"/>
  </cols>
  <sheetData>
    <row r="1" spans="1:8" ht="12.75" thickBot="1" x14ac:dyDescent="0.25"/>
    <row r="2" spans="1:8" ht="15.75" thickBot="1" x14ac:dyDescent="0.3">
      <c r="A2" s="85" t="s">
        <v>45</v>
      </c>
      <c r="B2" s="86"/>
      <c r="C2" s="86"/>
      <c r="D2" s="86"/>
      <c r="E2" s="86"/>
      <c r="F2" s="86"/>
      <c r="G2" s="87"/>
      <c r="H2" s="2"/>
    </row>
    <row r="4" spans="1:8" ht="12.75" thickBot="1" x14ac:dyDescent="0.25"/>
    <row r="5" spans="1:8" x14ac:dyDescent="0.2">
      <c r="A5" s="3" t="s">
        <v>0</v>
      </c>
      <c r="B5" s="61">
        <f>novembre!B5</f>
        <v>2</v>
      </c>
      <c r="C5" s="4"/>
      <c r="D5" s="5"/>
      <c r="E5" s="6"/>
      <c r="F5" s="91" t="str">
        <f>novembre!F5</f>
        <v>Groupe Advensys Luxembourg S.A</v>
      </c>
      <c r="G5" s="92"/>
    </row>
    <row r="6" spans="1:8" x14ac:dyDescent="0.2">
      <c r="A6" s="7" t="s">
        <v>1</v>
      </c>
      <c r="B6" s="67" t="str">
        <f>novembre!B6</f>
        <v>968,04</v>
      </c>
      <c r="C6" s="9"/>
      <c r="D6" s="10"/>
      <c r="E6" s="6"/>
      <c r="F6" s="93" t="str">
        <f>novembre!F6</f>
        <v>Duarrefstrooss 49</v>
      </c>
      <c r="G6" s="94"/>
    </row>
    <row r="7" spans="1:8" ht="12.75" thickBot="1" x14ac:dyDescent="0.25">
      <c r="A7" s="7" t="s">
        <v>2</v>
      </c>
      <c r="B7" s="67" t="str">
        <f>novembre!B7</f>
        <v xml:space="preserve">Comptable </v>
      </c>
      <c r="C7" s="9"/>
      <c r="D7" s="10"/>
      <c r="E7" s="6"/>
      <c r="F7" s="95" t="str">
        <f>novembre!F7</f>
        <v>L-9964 Huldange</v>
      </c>
      <c r="G7" s="96"/>
    </row>
    <row r="8" spans="1:8" ht="12.75" thickBot="1" x14ac:dyDescent="0.25">
      <c r="A8" s="7" t="s">
        <v>3</v>
      </c>
      <c r="B8" s="73">
        <f>novembre!B8</f>
        <v>44455</v>
      </c>
      <c r="C8" s="9"/>
      <c r="D8" s="10"/>
      <c r="E8" s="6"/>
      <c r="F8" s="67"/>
      <c r="G8" s="12"/>
    </row>
    <row r="9" spans="1:8" x14ac:dyDescent="0.2">
      <c r="A9" s="7" t="s">
        <v>4</v>
      </c>
      <c r="B9" s="67" t="str">
        <f>novembre!B9</f>
        <v>1996 0905 124 86</v>
      </c>
      <c r="C9" s="9"/>
      <c r="D9" s="10"/>
      <c r="E9" s="6"/>
      <c r="F9" s="91" t="str">
        <f>novembre!F9</f>
        <v>BERTHE Alexandra</v>
      </c>
      <c r="G9" s="92"/>
    </row>
    <row r="10" spans="1:8" x14ac:dyDescent="0.2">
      <c r="A10" s="7" t="s">
        <v>5</v>
      </c>
      <c r="B10" s="67">
        <f>novembre!B10</f>
        <v>20152206748</v>
      </c>
      <c r="C10" s="9"/>
      <c r="D10" s="10"/>
      <c r="E10" s="6"/>
      <c r="F10" s="93" t="str">
        <f>novembre!F10</f>
        <v>93, Duarrefstrooss</v>
      </c>
      <c r="G10" s="94"/>
    </row>
    <row r="11" spans="1:8" ht="12.75" thickBot="1" x14ac:dyDescent="0.25">
      <c r="A11" s="13" t="s">
        <v>6</v>
      </c>
      <c r="B11" s="14" t="s">
        <v>54</v>
      </c>
      <c r="C11" s="15"/>
      <c r="D11" s="16"/>
      <c r="E11" s="6"/>
      <c r="F11" s="95" t="str">
        <f>novembre!F11</f>
        <v>L-9964 Huldange</v>
      </c>
      <c r="G11" s="96"/>
    </row>
    <row r="12" spans="1:8" x14ac:dyDescent="0.2">
      <c r="A12" s="97" t="s">
        <v>7</v>
      </c>
      <c r="B12" s="97"/>
      <c r="C12" s="97"/>
      <c r="D12" s="97"/>
      <c r="E12" s="6"/>
      <c r="F12" s="6"/>
      <c r="G12" s="6"/>
    </row>
    <row r="13" spans="1:8" ht="12.75" thickBot="1" x14ac:dyDescent="0.25">
      <c r="A13" s="6"/>
      <c r="B13" s="6"/>
      <c r="C13" s="6"/>
      <c r="D13" s="6"/>
      <c r="E13" s="6"/>
      <c r="F13" s="6"/>
      <c r="G13" s="6"/>
    </row>
    <row r="14" spans="1:8" ht="23.25" thickBot="1" x14ac:dyDescent="0.25">
      <c r="A14" s="21" t="s">
        <v>8</v>
      </c>
      <c r="B14" s="17" t="s">
        <v>46</v>
      </c>
      <c r="C14" s="18" t="s">
        <v>9</v>
      </c>
      <c r="D14" s="19" t="s">
        <v>10</v>
      </c>
      <c r="E14" s="20"/>
      <c r="F14" s="21" t="s">
        <v>11</v>
      </c>
      <c r="G14" s="70" t="s">
        <v>10</v>
      </c>
    </row>
    <row r="15" spans="1:8" ht="12.75" thickBot="1" x14ac:dyDescent="0.25">
      <c r="A15" s="11"/>
      <c r="B15" s="22"/>
      <c r="C15" s="22"/>
      <c r="D15" s="22"/>
      <c r="E15" s="22"/>
      <c r="F15" s="22"/>
      <c r="G15" s="6"/>
    </row>
    <row r="16" spans="1:8" x14ac:dyDescent="0.2">
      <c r="A16" s="23" t="s">
        <v>12</v>
      </c>
      <c r="B16" s="24">
        <f>D49</f>
        <v>173</v>
      </c>
      <c r="C16" s="24">
        <f>D50</f>
        <v>18.753757225433528</v>
      </c>
      <c r="D16" s="25">
        <f>B16*C16</f>
        <v>3244.4000000000005</v>
      </c>
      <c r="E16" s="26"/>
      <c r="F16" s="26"/>
      <c r="G16" s="6"/>
    </row>
    <row r="17" spans="1:7" x14ac:dyDescent="0.2">
      <c r="A17" s="27" t="s">
        <v>43</v>
      </c>
      <c r="B17" s="26">
        <v>16</v>
      </c>
      <c r="C17" s="26">
        <v>0</v>
      </c>
      <c r="D17" s="28">
        <v>0</v>
      </c>
      <c r="E17" s="26"/>
      <c r="F17" s="26"/>
      <c r="G17" s="6"/>
    </row>
    <row r="18" spans="1:7" x14ac:dyDescent="0.2">
      <c r="A18" s="27" t="s">
        <v>31</v>
      </c>
      <c r="B18" s="26">
        <v>0</v>
      </c>
      <c r="C18" s="26">
        <v>0</v>
      </c>
      <c r="D18" s="28">
        <v>0</v>
      </c>
      <c r="E18" s="26"/>
      <c r="F18" s="26"/>
      <c r="G18" s="6"/>
    </row>
    <row r="19" spans="1:7" ht="12.75" thickBot="1" x14ac:dyDescent="0.25">
      <c r="A19" s="29" t="s">
        <v>48</v>
      </c>
      <c r="B19" s="30"/>
      <c r="C19" s="30"/>
      <c r="D19" s="31"/>
      <c r="E19" s="26"/>
      <c r="F19" s="26"/>
      <c r="G19" s="6"/>
    </row>
    <row r="20" spans="1:7" ht="12.75" thickBot="1" x14ac:dyDescent="0.25">
      <c r="A20" s="102" t="s">
        <v>13</v>
      </c>
      <c r="B20" s="102"/>
      <c r="C20" s="102"/>
      <c r="D20" s="32">
        <f>D16</f>
        <v>3244.4000000000005</v>
      </c>
      <c r="E20" s="33"/>
      <c r="F20" s="42">
        <f>novembre!G20</f>
        <v>35372.200000000004</v>
      </c>
      <c r="G20" s="62">
        <f>F20+D20</f>
        <v>38616.600000000006</v>
      </c>
    </row>
    <row r="21" spans="1:7" ht="12.75" thickBot="1" x14ac:dyDescent="0.25">
      <c r="A21" s="9"/>
      <c r="B21" s="26"/>
      <c r="C21" s="26"/>
      <c r="D21" s="33"/>
      <c r="E21" s="33"/>
      <c r="F21" s="24"/>
      <c r="G21" s="68"/>
    </row>
    <row r="22" spans="1:7" ht="12.75" thickBot="1" x14ac:dyDescent="0.25">
      <c r="A22" s="35" t="s">
        <v>14</v>
      </c>
      <c r="B22" s="36"/>
      <c r="C22" s="36"/>
      <c r="D22" s="37"/>
      <c r="E22" s="9"/>
      <c r="F22" s="26"/>
      <c r="G22" s="68"/>
    </row>
    <row r="23" spans="1:7" x14ac:dyDescent="0.2">
      <c r="A23" s="39" t="s">
        <v>15</v>
      </c>
      <c r="B23" s="40">
        <f>novembre!B23</f>
        <v>2.8000000000000001E-2</v>
      </c>
      <c r="C23" s="26"/>
      <c r="D23" s="41">
        <f>D20*B23</f>
        <v>90.84320000000001</v>
      </c>
      <c r="E23" s="26"/>
      <c r="F23" s="42">
        <f>novembre!G23</f>
        <v>1000.6191430289018</v>
      </c>
      <c r="G23" s="63">
        <f>F23+D23</f>
        <v>1091.4623430289018</v>
      </c>
    </row>
    <row r="24" spans="1:7" x14ac:dyDescent="0.2">
      <c r="A24" s="39" t="s">
        <v>16</v>
      </c>
      <c r="B24" s="40">
        <f>novembre!B24</f>
        <v>2.5000000000000001E-3</v>
      </c>
      <c r="C24" s="26"/>
      <c r="D24" s="41">
        <f>B24*D20</f>
        <v>8.1110000000000007</v>
      </c>
      <c r="E24" s="26"/>
      <c r="F24" s="43">
        <f>novembre!G24</f>
        <v>88.430500000000023</v>
      </c>
      <c r="G24" s="64">
        <f t="shared" ref="G24:G42" si="0">F24+D24</f>
        <v>96.541500000000028</v>
      </c>
    </row>
    <row r="25" spans="1:7" x14ac:dyDescent="0.2">
      <c r="A25" s="39" t="s">
        <v>17</v>
      </c>
      <c r="B25" s="40">
        <f>novembre!B25</f>
        <v>0.08</v>
      </c>
      <c r="C25" s="26"/>
      <c r="D25" s="41">
        <f>B25*D20</f>
        <v>259.55200000000002</v>
      </c>
      <c r="E25" s="26"/>
      <c r="F25" s="43">
        <f>novembre!G25</f>
        <v>2829.7760000000007</v>
      </c>
      <c r="G25" s="64">
        <f t="shared" si="0"/>
        <v>3089.3280000000009</v>
      </c>
    </row>
    <row r="26" spans="1:7" ht="12.75" thickBot="1" x14ac:dyDescent="0.25">
      <c r="A26" s="39" t="s">
        <v>18</v>
      </c>
      <c r="B26" s="40">
        <f>novembre!B26</f>
        <v>1.4E-2</v>
      </c>
      <c r="C26" s="26"/>
      <c r="D26" s="41">
        <f>B26*(D20-642.73)</f>
        <v>36.423380000000009</v>
      </c>
      <c r="E26" s="26"/>
      <c r="F26" s="46">
        <f>novembre!G26</f>
        <v>398.77107151445091</v>
      </c>
      <c r="G26" s="64">
        <f t="shared" si="0"/>
        <v>435.19445151445092</v>
      </c>
    </row>
    <row r="27" spans="1:7" ht="12.75" thickBot="1" x14ac:dyDescent="0.25">
      <c r="A27" s="100" t="s">
        <v>19</v>
      </c>
      <c r="B27" s="100"/>
      <c r="C27" s="100"/>
      <c r="D27" s="44">
        <f>SUM(D23:D26)</f>
        <v>394.92958000000004</v>
      </c>
      <c r="E27" s="33"/>
      <c r="F27" s="34">
        <f>novembre!G27</f>
        <v>4317.5967145433533</v>
      </c>
      <c r="G27" s="62">
        <f t="shared" si="0"/>
        <v>4712.5262945433533</v>
      </c>
    </row>
    <row r="28" spans="1:7" ht="12.75" thickBot="1" x14ac:dyDescent="0.25">
      <c r="A28" s="9"/>
      <c r="B28" s="40"/>
      <c r="C28" s="26"/>
      <c r="D28" s="33"/>
      <c r="E28" s="33"/>
      <c r="F28" s="26"/>
      <c r="G28" s="68"/>
    </row>
    <row r="29" spans="1:7" ht="12.75" thickBot="1" x14ac:dyDescent="0.25">
      <c r="A29" s="23" t="s">
        <v>20</v>
      </c>
      <c r="B29" s="24"/>
      <c r="C29" s="24"/>
      <c r="D29" s="45"/>
      <c r="E29" s="33"/>
      <c r="F29" s="26"/>
      <c r="G29" s="71"/>
    </row>
    <row r="30" spans="1:7" x14ac:dyDescent="0.2">
      <c r="A30" s="27" t="s">
        <v>21</v>
      </c>
      <c r="B30" s="26"/>
      <c r="C30" s="26"/>
      <c r="D30" s="28">
        <f>novembre!D30</f>
        <v>0</v>
      </c>
      <c r="E30" s="26"/>
      <c r="F30" s="42">
        <f>novembre!G30</f>
        <v>0</v>
      </c>
      <c r="G30" s="64">
        <f>F30+D30</f>
        <v>0</v>
      </c>
    </row>
    <row r="31" spans="1:7" x14ac:dyDescent="0.2">
      <c r="A31" s="27" t="s">
        <v>22</v>
      </c>
      <c r="B31" s="26"/>
      <c r="C31" s="26"/>
      <c r="D31" s="28">
        <f>novembre!D31</f>
        <v>0</v>
      </c>
      <c r="E31" s="26"/>
      <c r="F31" s="43">
        <f>novembre!G31</f>
        <v>0</v>
      </c>
      <c r="G31" s="64">
        <f t="shared" si="0"/>
        <v>0</v>
      </c>
    </row>
    <row r="32" spans="1:7" x14ac:dyDescent="0.2">
      <c r="A32" s="27" t="s">
        <v>23</v>
      </c>
      <c r="B32" s="26"/>
      <c r="C32" s="26"/>
      <c r="D32" s="28">
        <f>novembre!D32</f>
        <v>0</v>
      </c>
      <c r="E32" s="26"/>
      <c r="F32" s="43">
        <f>novembre!G32</f>
        <v>0</v>
      </c>
      <c r="G32" s="64">
        <f t="shared" si="0"/>
        <v>0</v>
      </c>
    </row>
    <row r="33" spans="1:7" ht="12.75" thickBot="1" x14ac:dyDescent="0.25">
      <c r="A33" s="29" t="s">
        <v>24</v>
      </c>
      <c r="B33" s="30"/>
      <c r="C33" s="30"/>
      <c r="D33" s="31">
        <f>novembre!D33</f>
        <v>0</v>
      </c>
      <c r="E33" s="26"/>
      <c r="F33" s="46">
        <f>novembre!G33</f>
        <v>0</v>
      </c>
      <c r="G33" s="65">
        <f t="shared" si="0"/>
        <v>0</v>
      </c>
    </row>
    <row r="34" spans="1:7" ht="12.75" thickBot="1" x14ac:dyDescent="0.25">
      <c r="A34" s="11"/>
      <c r="B34" s="26"/>
      <c r="C34" s="26"/>
      <c r="D34" s="26"/>
      <c r="E34" s="26"/>
      <c r="F34" s="26"/>
      <c r="G34" s="68"/>
    </row>
    <row r="35" spans="1:7" ht="12.75" thickBot="1" x14ac:dyDescent="0.25">
      <c r="A35" s="100" t="s">
        <v>25</v>
      </c>
      <c r="B35" s="100"/>
      <c r="C35" s="100"/>
      <c r="D35" s="44">
        <f>D20-D23-D24-D25-D30-D31-D32-D33</f>
        <v>2885.8938000000007</v>
      </c>
      <c r="E35" s="33"/>
      <c r="F35" s="34">
        <f>novembre!G35</f>
        <v>31453.374356971104</v>
      </c>
      <c r="G35" s="62">
        <f t="shared" si="0"/>
        <v>34339.268156971106</v>
      </c>
    </row>
    <row r="36" spans="1:7" ht="12.75" thickBot="1" x14ac:dyDescent="0.25">
      <c r="A36" s="9"/>
      <c r="B36" s="26"/>
      <c r="C36" s="26"/>
      <c r="D36" s="33"/>
      <c r="E36" s="33"/>
      <c r="F36" s="26"/>
      <c r="G36" s="68"/>
    </row>
    <row r="37" spans="1:7" x14ac:dyDescent="0.2">
      <c r="A37" s="47" t="s">
        <v>26</v>
      </c>
      <c r="B37" s="24"/>
      <c r="C37" s="24"/>
      <c r="D37" s="25"/>
      <c r="E37" s="26"/>
      <c r="F37" s="42">
        <f>novembre!G37</f>
        <v>2104.1999999999998</v>
      </c>
      <c r="G37" s="63">
        <f t="shared" si="0"/>
        <v>2104.1999999999998</v>
      </c>
    </row>
    <row r="38" spans="1:7" x14ac:dyDescent="0.2">
      <c r="A38" s="72" t="s">
        <v>44</v>
      </c>
      <c r="B38" s="26"/>
      <c r="C38" s="26"/>
      <c r="D38" s="28">
        <f>IF(D20&lt;1800,0,IF(D20&lt;=3000,81,IF(D20&gt;=3600,0,81/600*(3600-D20))))</f>
        <v>48.005999999999929</v>
      </c>
      <c r="E38" s="26"/>
      <c r="F38" s="43">
        <f>novembre!G38</f>
        <v>578.72299999999962</v>
      </c>
      <c r="G38" s="64">
        <f t="shared" si="0"/>
        <v>626.72899999999959</v>
      </c>
    </row>
    <row r="39" spans="1:7" x14ac:dyDescent="0.2">
      <c r="A39" s="27" t="s">
        <v>27</v>
      </c>
      <c r="B39" s="26"/>
      <c r="C39" s="26"/>
      <c r="D39" s="28">
        <f>IF(D20&lt;78,0,IF(D20&lt;936,((300+(D20*12-936)*0.029)/12),IF(D20&lt;3333.33,50,IF(D20&gt;6666.5,0,((600-(D20*12-40000)*0.015)/12)))))</f>
        <v>50</v>
      </c>
      <c r="E39" s="26"/>
      <c r="F39" s="43">
        <f>novembre!G39</f>
        <v>550</v>
      </c>
      <c r="G39" s="64">
        <f t="shared" si="0"/>
        <v>600</v>
      </c>
    </row>
    <row r="40" spans="1:7" ht="12.75" thickBot="1" x14ac:dyDescent="0.25">
      <c r="A40" s="29" t="s">
        <v>58</v>
      </c>
      <c r="B40" s="30"/>
      <c r="C40" s="30"/>
      <c r="D40" s="31">
        <f>IF(D20&lt;78,0,IF(D20&lt;3333.33,16,IF(D20&lt;6667,((16-(D20-3333.33)*0.0042)),0)))</f>
        <v>16</v>
      </c>
      <c r="E40" s="81"/>
      <c r="F40" s="46">
        <f>novembre!G40</f>
        <v>178</v>
      </c>
      <c r="G40" s="65">
        <f t="shared" ref="G40" si="1">F40+D40</f>
        <v>194</v>
      </c>
    </row>
    <row r="41" spans="1:7" ht="12.75" thickBot="1" x14ac:dyDescent="0.25">
      <c r="A41" s="11"/>
      <c r="B41" s="26"/>
      <c r="C41" s="26"/>
      <c r="D41" s="22"/>
      <c r="E41" s="22"/>
      <c r="F41" s="26"/>
      <c r="G41" s="68"/>
    </row>
    <row r="42" spans="1:7" ht="12.75" thickBot="1" x14ac:dyDescent="0.25">
      <c r="A42" s="100" t="s">
        <v>28</v>
      </c>
      <c r="B42" s="100"/>
      <c r="C42" s="100"/>
      <c r="D42" s="48">
        <f>D20-D27-D37+D38+D39+D40</f>
        <v>2963.4764200000004</v>
      </c>
      <c r="E42" s="26"/>
      <c r="F42" s="34">
        <f>novembre!G42</f>
        <v>30757.033436901736</v>
      </c>
      <c r="G42" s="62">
        <f t="shared" si="0"/>
        <v>33720.509856901735</v>
      </c>
    </row>
    <row r="43" spans="1:7" ht="12.75" thickBot="1" x14ac:dyDescent="0.25">
      <c r="A43" s="49"/>
      <c r="B43" s="49"/>
      <c r="C43" s="49"/>
      <c r="D43" s="26"/>
      <c r="E43" s="11"/>
      <c r="F43" s="11" t="s">
        <v>29</v>
      </c>
      <c r="G43" s="68"/>
    </row>
    <row r="44" spans="1:7" ht="12.75" thickBot="1" x14ac:dyDescent="0.25">
      <c r="A44" s="11"/>
      <c r="B44" s="11"/>
      <c r="C44" s="11"/>
      <c r="D44" s="11"/>
      <c r="E44" s="11"/>
      <c r="F44" s="69" t="s">
        <v>30</v>
      </c>
      <c r="G44" s="62">
        <f>D42</f>
        <v>2963.4764200000004</v>
      </c>
    </row>
    <row r="45" spans="1:7" ht="12.75" thickBot="1" x14ac:dyDescent="0.25">
      <c r="A45" s="11"/>
      <c r="B45" s="11"/>
      <c r="C45" s="11"/>
      <c r="D45" s="11"/>
      <c r="E45" s="11"/>
      <c r="F45" s="9"/>
      <c r="G45" s="6"/>
    </row>
    <row r="46" spans="1:7" ht="12.75" thickBot="1" x14ac:dyDescent="0.25">
      <c r="A46" s="50" t="s">
        <v>31</v>
      </c>
      <c r="B46" s="11"/>
      <c r="C46" s="38"/>
      <c r="D46" s="38"/>
      <c r="E46" s="38"/>
      <c r="F46" s="38"/>
      <c r="G46" s="6"/>
    </row>
    <row r="47" spans="1:7" ht="12.75" thickBot="1" x14ac:dyDescent="0.25">
      <c r="A47" s="51" t="s">
        <v>55</v>
      </c>
      <c r="B47" s="8">
        <f>novembre!B47</f>
        <v>208</v>
      </c>
      <c r="C47" s="100" t="s">
        <v>32</v>
      </c>
      <c r="D47" s="101"/>
      <c r="E47" s="49"/>
      <c r="F47" s="88" t="s">
        <v>33</v>
      </c>
      <c r="G47" s="89"/>
    </row>
    <row r="48" spans="1:7" x14ac:dyDescent="0.2">
      <c r="A48" s="82" t="s">
        <v>56</v>
      </c>
      <c r="B48" s="8">
        <f>novembre!B48</f>
        <v>-4</v>
      </c>
      <c r="C48" s="51" t="s">
        <v>34</v>
      </c>
      <c r="D48" s="52">
        <f>D49*D50</f>
        <v>3244.4000000000005</v>
      </c>
      <c r="E48" s="26"/>
      <c r="F48" s="53" t="s">
        <v>35</v>
      </c>
      <c r="G48" s="66" t="str">
        <f>novembre!G48</f>
        <v>D608388-2022</v>
      </c>
    </row>
    <row r="49" spans="1:7" x14ac:dyDescent="0.2">
      <c r="A49" s="54" t="s">
        <v>36</v>
      </c>
      <c r="B49" s="8">
        <f>novembre!B49+B18</f>
        <v>133</v>
      </c>
      <c r="C49" s="54" t="s">
        <v>37</v>
      </c>
      <c r="D49" s="55">
        <f>novembre!D49</f>
        <v>173</v>
      </c>
      <c r="E49" s="26"/>
      <c r="F49" s="56" t="s">
        <v>38</v>
      </c>
      <c r="G49" s="57">
        <f>novembre!G49</f>
        <v>1</v>
      </c>
    </row>
    <row r="50" spans="1:7" ht="12.75" thickBot="1" x14ac:dyDescent="0.25">
      <c r="A50" s="58" t="s">
        <v>39</v>
      </c>
      <c r="B50" s="8">
        <f>(B48+B47)-B49</f>
        <v>71</v>
      </c>
      <c r="C50" s="58" t="s">
        <v>40</v>
      </c>
      <c r="D50" s="59">
        <f>novembre!D50</f>
        <v>18.753757225433528</v>
      </c>
      <c r="E50" s="26"/>
      <c r="F50" s="60" t="s">
        <v>41</v>
      </c>
      <c r="G50" s="74" t="str">
        <f>novembre!G50</f>
        <v>-</v>
      </c>
    </row>
    <row r="51" spans="1:7" x14ac:dyDescent="0.2">
      <c r="C51" s="9"/>
      <c r="D51" s="26"/>
      <c r="E51" s="26"/>
      <c r="F51" s="11"/>
      <c r="G51" s="6"/>
    </row>
    <row r="52" spans="1:7" x14ac:dyDescent="0.2">
      <c r="A52" s="9"/>
      <c r="B52" s="8"/>
      <c r="C52" s="67"/>
      <c r="D52" s="67"/>
      <c r="E52" s="11"/>
      <c r="F52" s="11"/>
      <c r="G52" s="6"/>
    </row>
    <row r="53" spans="1:7" x14ac:dyDescent="0.2">
      <c r="A53" s="67" t="s">
        <v>42</v>
      </c>
      <c r="B53" s="67"/>
    </row>
    <row r="58" spans="1:7" ht="15" x14ac:dyDescent="0.25">
      <c r="B58"/>
    </row>
  </sheetData>
  <mergeCells count="14">
    <mergeCell ref="F10:G10"/>
    <mergeCell ref="A2:G2"/>
    <mergeCell ref="F5:G5"/>
    <mergeCell ref="F6:G6"/>
    <mergeCell ref="F7:G7"/>
    <mergeCell ref="F9:G9"/>
    <mergeCell ref="F47:G47"/>
    <mergeCell ref="F11:G11"/>
    <mergeCell ref="A12:D12"/>
    <mergeCell ref="A20:C20"/>
    <mergeCell ref="A27:C27"/>
    <mergeCell ref="A35:C35"/>
    <mergeCell ref="A42:C42"/>
    <mergeCell ref="C47:D47"/>
  </mergeCells>
  <pageMargins left="0.7" right="0.7" top="0.75" bottom="0.75" header="0.3" footer="0.3"/>
  <pageSetup paperSize="9" orientation="portrait" r:id="rId1"/>
  <headerFooter>
    <oddFooter>&amp;LGroupe Advensys Luxembourg S.A
contact@advensys-conseil.lu&amp;C
Grand rue 34
L-9710 Clervaux&amp;R+352 28 79 76 26       
+352 661 11 22 60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12</vt:i4>
      </vt:variant>
    </vt:vector>
  </HeadingPairs>
  <TitlesOfParts>
    <vt:vector size="12" baseType="lpstr">
      <vt:lpstr>janvier</vt:lpstr>
      <vt:lpstr>février</vt:lpstr>
      <vt:lpstr>mars</vt:lpstr>
      <vt:lpstr>Avril</vt:lpstr>
      <vt:lpstr>mai</vt:lpstr>
      <vt:lpstr>juin</vt:lpstr>
      <vt:lpstr>juillet</vt:lpstr>
      <vt:lpstr>aout</vt:lpstr>
      <vt:lpstr>septembre</vt:lpstr>
      <vt:lpstr>octobre</vt:lpstr>
      <vt:lpstr>novembre</vt:lpstr>
      <vt:lpstr>décembre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</dc:creator>
  <cp:lastModifiedBy>Irvin DULBERG</cp:lastModifiedBy>
  <cp:lastPrinted>2025-09-17T12:33:13Z</cp:lastPrinted>
  <dcterms:created xsi:type="dcterms:W3CDTF">2021-11-05T07:58:31Z</dcterms:created>
  <dcterms:modified xsi:type="dcterms:W3CDTF">2025-09-17T13:57:35Z</dcterms:modified>
</cp:coreProperties>
</file>